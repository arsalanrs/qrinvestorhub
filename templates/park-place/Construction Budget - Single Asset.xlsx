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parkplacefinanceus-my.sharepoint.com/personal/jesse_parkplaceus_com/Documents/Documents/Forms/"/>
    </mc:Choice>
  </mc:AlternateContent>
  <xr:revisionPtr revIDLastSave="0" documentId="8_{E48EA6BC-9EF7-46D6-8BBF-D664F52EB782}" xr6:coauthVersionLast="47" xr6:coauthVersionMax="47" xr10:uidLastSave="{00000000-0000-0000-0000-000000000000}"/>
  <bookViews>
    <workbookView xWindow="-105" yWindow="0" windowWidth="29010" windowHeight="15585" xr2:uid="{6B320B71-5AC5-4A29-9DE6-8060AF1BF42E}"/>
  </bookViews>
  <sheets>
    <sheet name="Step 1. Project Details" sheetId="2" r:id="rId1"/>
    <sheet name="Step 2. Construction Budget" sheetId="1" r:id="rId2"/>
    <sheet name="Step 3. Construction Schedule" sheetId="4" r:id="rId3"/>
    <sheet name="Hidden" sheetId="3"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4" l="1"/>
  <c r="B1" i="2"/>
  <c r="B1" i="1"/>
  <c r="B8" i="1"/>
  <c r="D6" i="1"/>
  <c r="D5" i="1"/>
  <c r="H103" i="1"/>
  <c r="H102" i="1" l="1"/>
  <c r="H104" i="1" s="1"/>
</calcChain>
</file>

<file path=xl/sharedStrings.xml><?xml version="1.0" encoding="utf-8"?>
<sst xmlns="http://schemas.openxmlformats.org/spreadsheetml/2006/main" count="192" uniqueCount="159">
  <si>
    <t>Instructions</t>
  </si>
  <si>
    <r>
      <t xml:space="preserve">Fill out all </t>
    </r>
    <r>
      <rPr>
        <b/>
        <sz val="10"/>
        <color theme="9" tint="-0.499984740745262"/>
        <rFont val="Aptos Narrow"/>
        <family val="2"/>
        <scheme val="minor"/>
      </rPr>
      <t>Green fields</t>
    </r>
    <r>
      <rPr>
        <sz val="10"/>
        <color theme="1"/>
        <rFont val="Aptos Narrow"/>
        <family val="2"/>
        <scheme val="minor"/>
      </rPr>
      <t xml:space="preserve"> for your construction project on the </t>
    </r>
    <r>
      <rPr>
        <b/>
        <sz val="10"/>
        <color theme="1"/>
        <rFont val="Aptos Narrow"/>
        <family val="2"/>
        <scheme val="minor"/>
      </rPr>
      <t>Step 1. Project Details</t>
    </r>
    <r>
      <rPr>
        <sz val="10"/>
        <color theme="1"/>
        <rFont val="Aptos Narrow"/>
        <family val="2"/>
        <scheme val="minor"/>
      </rPr>
      <t xml:space="preserve">. Once complete, fill out all applicable line items for the project's budget on </t>
    </r>
    <r>
      <rPr>
        <b/>
        <sz val="10"/>
        <color theme="1"/>
        <rFont val="Aptos Narrow"/>
        <family val="2"/>
        <scheme val="minor"/>
      </rPr>
      <t xml:space="preserve">Step 2. Construction Budget </t>
    </r>
    <r>
      <rPr>
        <sz val="10"/>
        <color theme="1"/>
        <rFont val="Aptos Narrow"/>
        <family val="2"/>
        <scheme val="minor"/>
      </rPr>
      <t xml:space="preserve">. Finally, for </t>
    </r>
    <r>
      <rPr>
        <u/>
        <sz val="10"/>
        <color theme="1"/>
        <rFont val="Aptos Narrow"/>
        <family val="2"/>
        <scheme val="minor"/>
      </rPr>
      <t>Ground-Up Construction only</t>
    </r>
    <r>
      <rPr>
        <sz val="10"/>
        <color theme="1"/>
        <rFont val="Aptos Narrow"/>
        <family val="2"/>
        <scheme val="minor"/>
      </rPr>
      <t xml:space="preserve">, fill out </t>
    </r>
    <r>
      <rPr>
        <b/>
        <sz val="10"/>
        <color theme="1"/>
        <rFont val="Aptos Narrow"/>
        <family val="2"/>
        <scheme val="minor"/>
      </rPr>
      <t>Step 3. Construction Schedule</t>
    </r>
    <r>
      <rPr>
        <sz val="10"/>
        <color theme="1"/>
        <rFont val="Aptos Narrow"/>
        <family val="2"/>
        <scheme val="minor"/>
      </rPr>
      <t>.</t>
    </r>
  </si>
  <si>
    <t xml:space="preserve">Borrower Name: </t>
  </si>
  <si>
    <t xml:space="preserve"> </t>
  </si>
  <si>
    <t xml:space="preserve">Inspection Contact: </t>
  </si>
  <si>
    <t>Name</t>
  </si>
  <si>
    <t>Phone</t>
  </si>
  <si>
    <t xml:space="preserve">Property Address: </t>
  </si>
  <si>
    <t>Street  &amp; Unit #</t>
  </si>
  <si>
    <t>Email</t>
  </si>
  <si>
    <t>City</t>
  </si>
  <si>
    <t xml:space="preserve">General Contractor: </t>
  </si>
  <si>
    <t>State</t>
  </si>
  <si>
    <t>Company</t>
  </si>
  <si>
    <t>Zip</t>
  </si>
  <si>
    <t>License #</t>
  </si>
  <si>
    <r>
      <t>Scope of Work</t>
    </r>
    <r>
      <rPr>
        <sz val="10"/>
        <color theme="1"/>
        <rFont val="Aptos Narrow"/>
        <family val="2"/>
        <scheme val="minor"/>
      </rPr>
      <t xml:space="preserve">: Please describe the full scope of work for the subject property(ies) and complete the applicable questions below based on the project being presented for financing. Improperly filled out scope of work and/or details of the project may result in lesser draw reimbursement or incorrect appraised values. </t>
    </r>
  </si>
  <si>
    <t>Example : Demolition of existing Duplex to add new construction of 2,415 sq/ft Triplex. Build 1 addition ADU on lot.</t>
  </si>
  <si>
    <t>What level of finishings will this project utilize?</t>
  </si>
  <si>
    <t>Select one from dropdown</t>
  </si>
  <si>
    <t>How many months will construction take to complete, including permits?</t>
  </si>
  <si>
    <t>Does the project require permits?</t>
  </si>
  <si>
    <t>If yes, have permits been issued?</t>
  </si>
  <si>
    <t>If not issued, how many months will permits take to obtain?</t>
  </si>
  <si>
    <t>Are you adding square footage to the property?</t>
  </si>
  <si>
    <t>If yes, will work be vertical, horizontal, or both?</t>
  </si>
  <si>
    <t xml:space="preserve">Subject Address: </t>
  </si>
  <si>
    <t>Project Scope</t>
  </si>
  <si>
    <t>Line #</t>
  </si>
  <si>
    <t>Line Item</t>
  </si>
  <si>
    <t>Budget Amount</t>
  </si>
  <si>
    <t>Description of work</t>
  </si>
  <si>
    <t>Soft Costs</t>
  </si>
  <si>
    <t>Plans (Architectural, Structural, Engineering, etc)</t>
  </si>
  <si>
    <t>Permits</t>
  </si>
  <si>
    <t>Survey</t>
  </si>
  <si>
    <t>Soils Report</t>
  </si>
  <si>
    <t>City Inspections</t>
  </si>
  <si>
    <t>Utility Connections</t>
  </si>
  <si>
    <t>Management Fees</t>
  </si>
  <si>
    <t>GC Fee (If not our client or part of entity)</t>
  </si>
  <si>
    <t>Project Management (If not our client or part of entity)</t>
  </si>
  <si>
    <t>Site Work</t>
  </si>
  <si>
    <t>Temporary Facilities (Fencing, Toilets, Power, etc.)</t>
  </si>
  <si>
    <t>Trash Out</t>
  </si>
  <si>
    <t>Demolition</t>
  </si>
  <si>
    <t>Excavation/Grading/Shoring/Site Work</t>
  </si>
  <si>
    <t xml:space="preserve">Site Water Proofing/Drainage </t>
  </si>
  <si>
    <t>Trenching</t>
  </si>
  <si>
    <t>Foundation</t>
  </si>
  <si>
    <t>Retaining Walls</t>
  </si>
  <si>
    <t>Rough Construction</t>
  </si>
  <si>
    <t>Rough Framing - Materials</t>
  </si>
  <si>
    <t>Rough Framing - Labor</t>
  </si>
  <si>
    <t>Sheething</t>
  </si>
  <si>
    <t>Roofing - Materials</t>
  </si>
  <si>
    <t>Roofing - Labor</t>
  </si>
  <si>
    <t xml:space="preserve">Structural Steel </t>
  </si>
  <si>
    <t>Exterior Doors - Materials</t>
  </si>
  <si>
    <t>Exterior Doors - Labor</t>
  </si>
  <si>
    <t>Exterior Windows - Materials</t>
  </si>
  <si>
    <t>Exterior Windows - Labor</t>
  </si>
  <si>
    <t>MEP (Mechanical, Electrical, Plumbing) Rough-In</t>
  </si>
  <si>
    <t>Rough-In Plumbing - Materials</t>
  </si>
  <si>
    <t>Rough-In Plumbing - Labor</t>
  </si>
  <si>
    <t>Rough-In Electrical - Materials</t>
  </si>
  <si>
    <t>Rough-In Electrical - Labor</t>
  </si>
  <si>
    <t>Rough-In HVAC - Materials</t>
  </si>
  <si>
    <t>Rough-In HVAC - Labor</t>
  </si>
  <si>
    <t>Fire Sprinklers</t>
  </si>
  <si>
    <t>Phone/Data/Smarthome Rough-In Wiring</t>
  </si>
  <si>
    <t>MEP (Mechanical, Electrical, Plumbing) Rough-Out</t>
  </si>
  <si>
    <t>Rough-Out Plumbing - Materials</t>
  </si>
  <si>
    <t>Rough-Out Plumbing - Labor</t>
  </si>
  <si>
    <t>Rough-Out Electrical - Materials</t>
  </si>
  <si>
    <t>Rough-Out Electrical - Labor</t>
  </si>
  <si>
    <t>Rough-Out HVAC - Materials</t>
  </si>
  <si>
    <t>Rough-Out HVAC - Labor</t>
  </si>
  <si>
    <t>Phone/Data/Smarthome Rough-Out Wiring</t>
  </si>
  <si>
    <t>Interior Build-Out</t>
  </si>
  <si>
    <t>Insulation</t>
  </si>
  <si>
    <t>Drywall</t>
  </si>
  <si>
    <t>Interior Doors / Trim – Materials</t>
  </si>
  <si>
    <t>Interior Doors / Trim – Labor</t>
  </si>
  <si>
    <t>Interior Painting</t>
  </si>
  <si>
    <t>Subfloor Prep</t>
  </si>
  <si>
    <t>Carpet / Hardwood / Tile – Materials</t>
  </si>
  <si>
    <t>Carpet / Hardwood / Tile – Labor</t>
  </si>
  <si>
    <t>Kitchen &amp; Bathrooms</t>
  </si>
  <si>
    <t>Cabinets &amp; Countertops – Materials</t>
  </si>
  <si>
    <t>Cabinets &amp; Countertops – Labor</t>
  </si>
  <si>
    <t>Fixtures (sinks, faucets, tubs, toilets)</t>
  </si>
  <si>
    <t>Tile / Shower Surrounds – Materials</t>
  </si>
  <si>
    <t>Tile / Shower Surrounds – Labor</t>
  </si>
  <si>
    <t>Appliances</t>
  </si>
  <si>
    <t>Exterior</t>
  </si>
  <si>
    <t>Siding / Stucco / Brick</t>
  </si>
  <si>
    <t>Gutters &amp; Downspouts</t>
  </si>
  <si>
    <t>Paint / Finish</t>
  </si>
  <si>
    <t>Driveway / Walkways</t>
  </si>
  <si>
    <t>Fencing &amp; Gates</t>
  </si>
  <si>
    <t>Decks / Patios / Porches</t>
  </si>
  <si>
    <t>Landscaping / Sod / Irrigation</t>
  </si>
  <si>
    <t>Misc</t>
  </si>
  <si>
    <t>Dumpsters</t>
  </si>
  <si>
    <t>Pool</t>
  </si>
  <si>
    <t>Accessories (Door Stops, Towel Bars, etc)</t>
  </si>
  <si>
    <t>Final Cleaning</t>
  </si>
  <si>
    <t>Open</t>
  </si>
  <si>
    <t>Contingency</t>
  </si>
  <si>
    <t>Must be 10% minimum</t>
  </si>
  <si>
    <t>Total Budget</t>
  </si>
  <si>
    <t>Total Soft Cost</t>
  </si>
  <si>
    <t>Total Hard Cost</t>
  </si>
  <si>
    <t>INTERNAL USE ONLY - Interest Reserve</t>
  </si>
  <si>
    <t>For each of the below phases of construction below, select the number of months it will take to complete. The total construction time should not exceed the term of the loan requested for this project.</t>
  </si>
  <si>
    <t xml:space="preserve">Phases </t>
  </si>
  <si>
    <t>Description of Work</t>
  </si>
  <si>
    <t>Months to Complete</t>
  </si>
  <si>
    <t xml:space="preserve">Phase 1 - Plans and Permits </t>
  </si>
  <si>
    <t xml:space="preserve">Final city approval of plans and issued permits </t>
  </si>
  <si>
    <t>Phase 2 - Site Prep</t>
  </si>
  <si>
    <t>Demolition, Clearing, Grading, Excavation</t>
  </si>
  <si>
    <t>Phase 3 - Foundation</t>
  </si>
  <si>
    <t>Foundation completion</t>
  </si>
  <si>
    <t>Phase 4 - Framing and Structural</t>
  </si>
  <si>
    <t>Rough framing completion</t>
  </si>
  <si>
    <t>Phase 5 - Exterior Envelope/Dry In</t>
  </si>
  <si>
    <t>Roofing, Windows, Exterior Doors, Siding, and Weatherproofing.</t>
  </si>
  <si>
    <t>Phase 6 - Rough-Ins</t>
  </si>
  <si>
    <t>Installation of HVAC, Plumbing, Electrical, Fire Sprinklers, and Datalines</t>
  </si>
  <si>
    <t>Phase 7 - Interior Build-Out</t>
  </si>
  <si>
    <t>Insulation, Drywall, Flooring, Cabinetry,Carpentry, Paint and Fixtures</t>
  </si>
  <si>
    <t>Phase 8 - Finishes and Exterior Work</t>
  </si>
  <si>
    <t>Final Exterior, Paint, Gutters, Final Trim, Hardscape, Landscaping</t>
  </si>
  <si>
    <t>Phase 9 - Final Inspection &amp; Certificate   of Occupancy</t>
  </si>
  <si>
    <t>Permit sign offs</t>
  </si>
  <si>
    <t>Phase 10 - Sale/Payoff of Property</t>
  </si>
  <si>
    <t>Marketing time or refinance into rental program</t>
  </si>
  <si>
    <t>1 Month</t>
  </si>
  <si>
    <t>Builder Grade (ex. Entry level and hardware store)</t>
  </si>
  <si>
    <t>Not Needed</t>
  </si>
  <si>
    <t>Already Complete</t>
  </si>
  <si>
    <t>Vertical (no foundation expansion)</t>
  </si>
  <si>
    <t>2 Months</t>
  </si>
  <si>
    <t>Quality Grade (ex. Mid-level name brand or some custom)</t>
  </si>
  <si>
    <t>Yes</t>
  </si>
  <si>
    <t>Horizontal (foundation expansion)</t>
  </si>
  <si>
    <t>3 Months</t>
  </si>
  <si>
    <t>High-End Custom (ex. Custom finishing and designer appliances)</t>
  </si>
  <si>
    <t>No</t>
  </si>
  <si>
    <t>Both (foundation expansion)</t>
  </si>
  <si>
    <t>4 Months</t>
  </si>
  <si>
    <t>5 Months</t>
  </si>
  <si>
    <t>6 Months</t>
  </si>
  <si>
    <t>7 Months</t>
  </si>
  <si>
    <t>7+ Months</t>
  </si>
  <si>
    <t>8 Months</t>
  </si>
  <si>
    <t>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</si>
</sst>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font>
      <sz val="11"/>
      <color theme="1"/>
      <name val="Aptos Narrow"/>
      <family val="2"/>
      <scheme val="minor"/>
    </font>
    <font>
      <b/>
      <sz val="11"/>
      <color theme="1"/>
      <name val="Aptos Narrow"/>
      <family val="2"/>
      <scheme val="minor"/>
    </font>
    <font>
      <sz val="11"/>
      <color theme="1"/>
      <name val="Aptos Narrow"/>
      <family val="2"/>
      <scheme val="minor"/>
    </font>
    <font>
      <b/>
      <sz val="10"/>
      <color theme="1"/>
      <name val="Aptos Narrow"/>
      <family val="2"/>
      <scheme val="minor"/>
    </font>
    <font>
      <sz val="10"/>
      <color theme="1"/>
      <name val="Aptos Narrow"/>
      <family val="2"/>
      <scheme val="minor"/>
    </font>
    <font>
      <b/>
      <sz val="10"/>
      <color theme="9" tint="-0.499984740745262"/>
      <name val="Aptos Narrow"/>
      <family val="2"/>
      <scheme val="minor"/>
    </font>
    <font>
      <u/>
      <sz val="10"/>
      <color theme="1"/>
      <name val="Aptos Narrow"/>
      <family val="2"/>
      <scheme val="minor"/>
    </font>
    <font>
      <sz val="10"/>
      <color theme="1"/>
      <name val="Sitka Heading"/>
    </font>
    <font>
      <b/>
      <sz val="22"/>
      <color theme="0"/>
      <name val="Sitka Heading"/>
    </font>
    <font>
      <b/>
      <sz val="10"/>
      <color theme="1"/>
      <name val="Sitka Subheading"/>
    </font>
    <font>
      <sz val="10"/>
      <color theme="1"/>
      <name val="Sitka Subheading"/>
    </font>
    <font>
      <b/>
      <sz val="11"/>
      <color theme="1"/>
      <name val="Sitka Subheading"/>
    </font>
    <font>
      <sz val="11"/>
      <color theme="1"/>
      <name val="Sitka Subheading"/>
    </font>
  </fonts>
  <fills count="5">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3" tint="9.9978637043366805E-2"/>
        <bgColor indexed="64"/>
      </patternFill>
    </fill>
  </fills>
  <borders count="14">
    <border>
      <left/>
      <right/>
      <top/>
      <bottom/>
      <diagonal/>
    </border>
    <border>
      <left/>
      <right style="thin">
        <color theme="3" tint="9.9978637043366805E-2"/>
      </right>
      <top/>
      <bottom/>
      <diagonal/>
    </border>
    <border>
      <left/>
      <right/>
      <top style="thin">
        <color theme="3" tint="9.9978637043366805E-2"/>
      </top>
      <bottom/>
      <diagonal/>
    </border>
    <border>
      <left style="thin">
        <color theme="3" tint="9.9978637043366805E-2"/>
      </left>
      <right/>
      <top/>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right/>
      <top style="thin">
        <color theme="3" tint="9.9978637043366805E-2"/>
      </top>
      <bottom style="thin">
        <color theme="3" tint="9.9978637043366805E-2"/>
      </bottom>
      <diagonal/>
    </border>
    <border>
      <left style="thin">
        <color theme="3" tint="9.9978637043366805E-2"/>
      </left>
      <right/>
      <top style="thin">
        <color theme="3" tint="9.9978637043366805E-2"/>
      </top>
      <bottom style="thin">
        <color theme="3" tint="9.9978637043366805E-2"/>
      </bottom>
      <diagonal/>
    </border>
    <border>
      <left/>
      <right style="thin">
        <color theme="3" tint="9.9978637043366805E-2"/>
      </right>
      <top style="thin">
        <color theme="3" tint="9.9978637043366805E-2"/>
      </top>
      <bottom style="thin">
        <color theme="3" tint="9.9978637043366805E-2"/>
      </bottom>
      <diagonal/>
    </border>
    <border>
      <left/>
      <right/>
      <top/>
      <bottom style="thin">
        <color theme="3" tint="9.9978637043366805E-2"/>
      </bottom>
      <diagonal/>
    </border>
    <border>
      <left style="thin">
        <color theme="3" tint="9.9978637043366805E-2"/>
      </left>
      <right/>
      <top style="thin">
        <color theme="3" tint="9.9978637043366805E-2"/>
      </top>
      <bottom/>
      <diagonal/>
    </border>
    <border>
      <left/>
      <right style="thin">
        <color theme="3" tint="9.9978637043366805E-2"/>
      </right>
      <top style="thin">
        <color theme="3" tint="9.9978637043366805E-2"/>
      </top>
      <bottom/>
      <diagonal/>
    </border>
    <border>
      <left style="thin">
        <color theme="3" tint="9.9978637043366805E-2"/>
      </left>
      <right/>
      <top/>
      <bottom style="thin">
        <color theme="3" tint="9.9978637043366805E-2"/>
      </bottom>
      <diagonal/>
    </border>
    <border>
      <left/>
      <right style="thin">
        <color theme="3" tint="9.9978637043366805E-2"/>
      </right>
      <top/>
      <bottom style="thin">
        <color theme="3" tint="9.9978637043366805E-2"/>
      </bottom>
      <diagonal/>
    </border>
    <border>
      <left style="thin">
        <color theme="3" tint="9.9978637043366805E-2"/>
      </left>
      <right style="thin">
        <color theme="3" tint="9.9978637043366805E-2"/>
      </right>
      <top/>
      <bottom style="thin">
        <color theme="3" tint="9.9978637043366805E-2"/>
      </bottom>
      <diagonal/>
    </border>
  </borders>
  <cellStyleXfs count="2">
    <xf numFmtId="0" fontId="0" fillId="0" borderId="0"/>
    <xf numFmtId="44" fontId="2" fillId="0" borderId="0" applyFont="0" applyFill="0" applyBorder="0" applyAlignment="0" applyProtection="0"/>
  </cellStyleXfs>
  <cellXfs count="94">
    <xf numFmtId="0" fontId="0" fillId="0" borderId="0" xfId="0"/>
    <xf numFmtId="0" fontId="4" fillId="0" borderId="0" xfId="0" applyFont="1"/>
    <xf numFmtId="0" fontId="3" fillId="3" borderId="4" xfId="0" applyFont="1" applyFill="1" applyBorder="1"/>
    <xf numFmtId="0" fontId="4" fillId="0" borderId="0" xfId="0" applyFont="1" applyAlignment="1">
      <alignment vertical="top" wrapText="1"/>
    </xf>
    <xf numFmtId="0" fontId="7" fillId="0" borderId="0" xfId="0" applyFont="1"/>
    <xf numFmtId="0" fontId="7" fillId="0" borderId="0" xfId="0" applyFont="1" applyAlignment="1">
      <alignment horizontal="center"/>
    </xf>
    <xf numFmtId="0" fontId="10" fillId="0" borderId="0" xfId="0" applyFont="1"/>
    <xf numFmtId="0" fontId="9" fillId="0" borderId="4" xfId="0" applyFont="1" applyBorder="1"/>
    <xf numFmtId="0" fontId="10" fillId="0" borderId="4" xfId="0" applyFont="1" applyBorder="1"/>
    <xf numFmtId="0" fontId="10" fillId="0" borderId="4" xfId="0" applyFont="1" applyBorder="1" applyAlignment="1">
      <alignment horizontal="center"/>
    </xf>
    <xf numFmtId="0" fontId="12" fillId="0" borderId="0" xfId="0" applyFont="1"/>
    <xf numFmtId="0" fontId="4" fillId="0" borderId="0" xfId="0" applyFont="1" applyAlignment="1">
      <alignment wrapText="1"/>
    </xf>
    <xf numFmtId="0" fontId="0" fillId="0" borderId="0" xfId="0" applyAlignment="1">
      <alignment vertical="center" wrapText="1"/>
    </xf>
    <xf numFmtId="0" fontId="4" fillId="3" borderId="3" xfId="0" applyFont="1" applyFill="1" applyBorder="1"/>
    <xf numFmtId="0" fontId="4" fillId="3" borderId="11" xfId="0" applyFont="1" applyFill="1" applyBorder="1"/>
    <xf numFmtId="0" fontId="4" fillId="2" borderId="4" xfId="0" applyFont="1" applyFill="1" applyBorder="1" applyAlignment="1" applyProtection="1">
      <alignment horizontal="left"/>
      <protection locked="0"/>
    </xf>
    <xf numFmtId="0" fontId="4" fillId="3" borderId="8" xfId="0" applyFont="1" applyFill="1" applyBorder="1" applyAlignment="1">
      <alignment horizontal="left"/>
    </xf>
    <xf numFmtId="0" fontId="4" fillId="3" borderId="12" xfId="0" applyFont="1" applyFill="1" applyBorder="1" applyAlignment="1">
      <alignment horizontal="left"/>
    </xf>
    <xf numFmtId="0" fontId="4" fillId="3" borderId="0" xfId="0" applyFont="1" applyFill="1" applyAlignment="1">
      <alignment horizontal="left"/>
    </xf>
    <xf numFmtId="0" fontId="4" fillId="3" borderId="1" xfId="0" applyFont="1" applyFill="1" applyBorder="1" applyAlignment="1">
      <alignment horizontal="left"/>
    </xf>
    <xf numFmtId="0" fontId="8" fillId="4" borderId="9"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0" xfId="0" applyFont="1" applyFill="1" applyAlignment="1">
      <alignment horizontal="center" vertical="center"/>
    </xf>
    <xf numFmtId="0" fontId="8" fillId="4" borderId="11" xfId="0" applyFont="1" applyFill="1" applyBorder="1" applyAlignment="1">
      <alignment horizontal="center" vertical="center"/>
    </xf>
    <xf numFmtId="0" fontId="8" fillId="4" borderId="8" xfId="0" applyFont="1" applyFill="1" applyBorder="1" applyAlignment="1">
      <alignment horizontal="center" vertical="center"/>
    </xf>
    <xf numFmtId="0" fontId="3" fillId="0" borderId="3" xfId="0" applyFont="1" applyBorder="1" applyAlignment="1">
      <alignment horizontal="right"/>
    </xf>
    <xf numFmtId="0" fontId="3" fillId="0" borderId="0" xfId="0" applyFont="1" applyAlignment="1">
      <alignment horizontal="right"/>
    </xf>
    <xf numFmtId="0" fontId="4" fillId="2" borderId="6" xfId="0" applyFont="1" applyFill="1" applyBorder="1" applyAlignment="1" applyProtection="1">
      <alignment horizontal="center"/>
      <protection locked="0"/>
    </xf>
    <xf numFmtId="0" fontId="4" fillId="2" borderId="5" xfId="0" applyFont="1" applyFill="1" applyBorder="1" applyAlignment="1" applyProtection="1">
      <alignment horizontal="center"/>
      <protection locked="0"/>
    </xf>
    <xf numFmtId="0" fontId="4" fillId="2" borderId="7" xfId="0" applyFont="1" applyFill="1" applyBorder="1" applyAlignment="1" applyProtection="1">
      <alignment horizontal="center"/>
      <protection locked="0"/>
    </xf>
    <xf numFmtId="0" fontId="4" fillId="3" borderId="3" xfId="0" applyFont="1" applyFill="1" applyBorder="1" applyAlignment="1">
      <alignment horizontal="left"/>
    </xf>
    <xf numFmtId="0" fontId="4" fillId="2" borderId="4" xfId="0" applyFont="1" applyFill="1" applyBorder="1" applyAlignment="1" applyProtection="1">
      <alignment horizontal="left" vertical="top" wrapText="1"/>
      <protection locked="0"/>
    </xf>
    <xf numFmtId="0" fontId="4" fillId="2" borderId="6" xfId="0" applyFont="1" applyFill="1" applyBorder="1" applyAlignment="1" applyProtection="1">
      <alignment horizontal="left"/>
      <protection locked="0"/>
    </xf>
    <xf numFmtId="0" fontId="4" fillId="2" borderId="5" xfId="0" applyFont="1" applyFill="1" applyBorder="1" applyAlignment="1" applyProtection="1">
      <alignment horizontal="left"/>
      <protection locked="0"/>
    </xf>
    <xf numFmtId="0" fontId="4" fillId="2" borderId="7" xfId="0" applyFont="1" applyFill="1" applyBorder="1" applyAlignment="1" applyProtection="1">
      <alignment horizontal="left"/>
      <protection locked="0"/>
    </xf>
    <xf numFmtId="0" fontId="4" fillId="3" borderId="9" xfId="0" applyFont="1" applyFill="1" applyBorder="1" applyAlignment="1">
      <alignment horizontal="left"/>
    </xf>
    <xf numFmtId="0" fontId="4" fillId="3" borderId="2" xfId="0" applyFont="1" applyFill="1" applyBorder="1" applyAlignment="1">
      <alignment horizontal="left"/>
    </xf>
    <xf numFmtId="0" fontId="4" fillId="3" borderId="10" xfId="0" applyFont="1" applyFill="1" applyBorder="1" applyAlignment="1">
      <alignment horizontal="left"/>
    </xf>
    <xf numFmtId="0" fontId="3" fillId="0" borderId="0" xfId="0" applyFont="1" applyAlignment="1">
      <alignment horizontal="left" wrapText="1"/>
    </xf>
    <xf numFmtId="0" fontId="4" fillId="0" borderId="0" xfId="0" applyFont="1" applyAlignment="1">
      <alignment horizontal="center" vertical="top" wrapText="1"/>
    </xf>
    <xf numFmtId="0" fontId="3" fillId="0" borderId="0" xfId="0" applyFont="1" applyAlignment="1">
      <alignment horizontal="center"/>
    </xf>
    <xf numFmtId="0" fontId="3" fillId="3" borderId="4" xfId="0" applyFont="1" applyFill="1" applyBorder="1" applyAlignment="1">
      <alignment horizontal="left" wrapText="1"/>
    </xf>
    <xf numFmtId="0" fontId="4" fillId="2" borderId="9" xfId="0" applyFont="1" applyFill="1" applyBorder="1" applyAlignment="1" applyProtection="1">
      <alignment horizontal="left"/>
      <protection locked="0"/>
    </xf>
    <xf numFmtId="0" fontId="4" fillId="2" borderId="2" xfId="0" applyFont="1" applyFill="1" applyBorder="1" applyAlignment="1" applyProtection="1">
      <alignment horizontal="left"/>
      <protection locked="0"/>
    </xf>
    <xf numFmtId="0" fontId="4" fillId="2" borderId="10" xfId="0" applyFont="1" applyFill="1" applyBorder="1" applyAlignment="1" applyProtection="1">
      <alignment horizontal="left"/>
      <protection locked="0"/>
    </xf>
    <xf numFmtId="0" fontId="4" fillId="2" borderId="11" xfId="0" applyFont="1" applyFill="1" applyBorder="1" applyAlignment="1" applyProtection="1">
      <alignment horizontal="left"/>
      <protection locked="0"/>
    </xf>
    <xf numFmtId="0" fontId="4" fillId="2" borderId="8" xfId="0" applyFont="1" applyFill="1" applyBorder="1" applyAlignment="1" applyProtection="1">
      <alignment horizontal="left"/>
      <protection locked="0"/>
    </xf>
    <xf numFmtId="0" fontId="4" fillId="2" borderId="12" xfId="0" applyFont="1" applyFill="1" applyBorder="1" applyAlignment="1" applyProtection="1">
      <alignment horizontal="left"/>
      <protection locked="0"/>
    </xf>
    <xf numFmtId="0" fontId="3" fillId="0" borderId="1" xfId="0" applyFont="1" applyBorder="1" applyAlignment="1">
      <alignment horizontal="right"/>
    </xf>
    <xf numFmtId="0" fontId="3" fillId="0" borderId="0" xfId="0" applyFont="1" applyAlignment="1">
      <alignment horizontal="right" vertical="top"/>
    </xf>
    <xf numFmtId="0" fontId="10" fillId="2" borderId="4" xfId="0" applyFont="1" applyFill="1" applyBorder="1" applyAlignment="1" applyProtection="1">
      <alignment wrapText="1"/>
      <protection locked="0"/>
    </xf>
    <xf numFmtId="0" fontId="10" fillId="0" borderId="4" xfId="0" applyFont="1" applyBorder="1" applyAlignment="1">
      <alignment wrapText="1"/>
    </xf>
    <xf numFmtId="0" fontId="11" fillId="0" borderId="0" xfId="0" applyFont="1" applyAlignment="1">
      <alignment horizontal="right"/>
    </xf>
    <xf numFmtId="0" fontId="12" fillId="0" borderId="4" xfId="0" applyFont="1" applyBorder="1" applyAlignment="1">
      <alignment horizontal="center" vertical="top" wrapText="1"/>
    </xf>
    <xf numFmtId="0" fontId="11" fillId="0" borderId="4" xfId="0" applyFont="1" applyBorder="1" applyAlignment="1">
      <alignment horizontal="center"/>
    </xf>
    <xf numFmtId="44" fontId="10" fillId="2" borderId="4" xfId="1" applyFont="1" applyFill="1" applyBorder="1" applyAlignment="1" applyProtection="1">
      <protection locked="0"/>
    </xf>
    <xf numFmtId="44" fontId="7" fillId="0" borderId="13" xfId="0" applyNumberFormat="1" applyFont="1" applyBorder="1" applyAlignment="1">
      <alignment horizontal="center"/>
    </xf>
    <xf numFmtId="0" fontId="7" fillId="0" borderId="13" xfId="0" applyFont="1" applyBorder="1" applyAlignment="1">
      <alignment horizontal="center"/>
    </xf>
    <xf numFmtId="0" fontId="10" fillId="0" borderId="13" xfId="0" applyFont="1" applyBorder="1" applyAlignment="1">
      <alignment horizontal="right"/>
    </xf>
    <xf numFmtId="0" fontId="10" fillId="0" borderId="4" xfId="0" applyFont="1" applyBorder="1" applyAlignment="1">
      <alignment horizontal="right"/>
    </xf>
    <xf numFmtId="44" fontId="7" fillId="0" borderId="4" xfId="0" applyNumberFormat="1" applyFont="1" applyBorder="1" applyAlignment="1">
      <alignment horizontal="center"/>
    </xf>
    <xf numFmtId="0" fontId="7" fillId="0" borderId="4" xfId="0" applyFont="1" applyBorder="1" applyAlignment="1">
      <alignment horizontal="center"/>
    </xf>
    <xf numFmtId="44" fontId="10" fillId="2" borderId="6" xfId="1" applyFont="1" applyFill="1" applyBorder="1" applyAlignment="1" applyProtection="1">
      <protection locked="0"/>
    </xf>
    <xf numFmtId="44" fontId="10" fillId="2" borderId="7" xfId="1" applyFont="1" applyFill="1" applyBorder="1" applyAlignment="1" applyProtection="1">
      <protection locked="0"/>
    </xf>
    <xf numFmtId="0" fontId="10" fillId="2" borderId="6" xfId="0" applyFont="1" applyFill="1" applyBorder="1" applyAlignment="1" applyProtection="1">
      <alignment wrapText="1"/>
      <protection locked="0"/>
    </xf>
    <xf numFmtId="0" fontId="10" fillId="2" borderId="5" xfId="0" applyFont="1" applyFill="1" applyBorder="1" applyAlignment="1" applyProtection="1">
      <alignment wrapText="1"/>
      <protection locked="0"/>
    </xf>
    <xf numFmtId="0" fontId="10" fillId="2" borderId="7" xfId="0" applyFont="1" applyFill="1" applyBorder="1" applyAlignment="1" applyProtection="1">
      <alignment wrapText="1"/>
      <protection locked="0"/>
    </xf>
    <xf numFmtId="0" fontId="10" fillId="0" borderId="6" xfId="0" applyFont="1" applyBorder="1" applyAlignment="1">
      <alignment wrapText="1"/>
    </xf>
    <xf numFmtId="0" fontId="10" fillId="0" borderId="5" xfId="0" applyFont="1" applyBorder="1" applyAlignment="1">
      <alignment wrapText="1"/>
    </xf>
    <xf numFmtId="0" fontId="10" fillId="0" borderId="7" xfId="0" applyFont="1" applyBorder="1" applyAlignment="1">
      <alignment wrapText="1"/>
    </xf>
    <xf numFmtId="0" fontId="0" fillId="2" borderId="4" xfId="0" applyFill="1" applyBorder="1" applyAlignment="1" applyProtection="1">
      <alignment horizontal="left" vertical="center" wrapText="1"/>
      <protection locked="0"/>
    </xf>
    <xf numFmtId="0" fontId="0" fillId="0" borderId="4" xfId="0" applyBorder="1" applyAlignment="1">
      <alignment horizontal="left" vertical="center" wrapText="1"/>
    </xf>
    <xf numFmtId="0" fontId="8" fillId="4" borderId="9"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11"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top" wrapText="1"/>
    </xf>
    <xf numFmtId="0" fontId="1" fillId="0" borderId="4" xfId="0" applyFont="1" applyBorder="1" applyAlignment="1">
      <alignment horizontal="center" wrapText="1"/>
    </xf>
    <xf numFmtId="0" fontId="4" fillId="3" borderId="3" xfId="0" applyFont="1" applyFill="1" applyBorder="1" applyAlignment="1"/>
    <xf numFmtId="0" fontId="4" fillId="3" borderId="0" xfId="0" applyFont="1" applyFill="1" applyAlignment="1"/>
    <xf numFmtId="0" fontId="4" fillId="3" borderId="1" xfId="0" applyFont="1" applyFill="1" applyBorder="1" applyAlignment="1"/>
    <xf numFmtId="0" fontId="9" fillId="0" borderId="4" xfId="0" applyFont="1" applyBorder="1" applyAlignment="1"/>
    <xf numFmtId="0" fontId="10" fillId="0" borderId="4" xfId="0" applyFont="1" applyBorder="1" applyAlignment="1"/>
    <xf numFmtId="0" fontId="9" fillId="0" borderId="6" xfId="0" applyFont="1" applyBorder="1" applyAlignment="1"/>
    <xf numFmtId="0" fontId="9" fillId="0" borderId="5" xfId="0" applyFont="1" applyBorder="1" applyAlignment="1"/>
    <xf numFmtId="0" fontId="9" fillId="0" borderId="7" xfId="0" applyFont="1" applyBorder="1" applyAlignment="1"/>
    <xf numFmtId="0" fontId="10" fillId="0" borderId="6" xfId="0" applyFont="1" applyBorder="1" applyAlignment="1"/>
    <xf numFmtId="0" fontId="10" fillId="0" borderId="7" xfId="0" applyFont="1" applyBorder="1" applyAlignment="1"/>
    <xf numFmtId="0" fontId="10" fillId="0" borderId="5" xfId="0" applyFont="1" applyBorder="1" applyAlignment="1"/>
    <xf numFmtId="0" fontId="10" fillId="2" borderId="4" xfId="0" applyFont="1" applyFill="1" applyBorder="1" applyAlignment="1" applyProtection="1">
      <protection locked="0"/>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44D-6894-47CF-BC72-E28DF604E3D0}">
  <sheetPr>
    <pageSetUpPr autoPageBreaks="0"/>
  </sheetPr>
  <dimension ref="B1:N92"/>
  <sheetViews>
    <sheetView showGridLines="0" tabSelected="1" zoomScale="145" zoomScaleNormal="145" workbookViewId="0">
      <selection activeCell="Q30" sqref="Q30"/>
    </sheetView>
  </sheetViews>
  <sheetFormatPr defaultColWidth="9.140625" defaultRowHeight="13.5"/>
  <cols>
    <col min="1" max="1" width="2.85546875" style="1" customWidth="1"/>
    <col min="2" max="6" width="9.140625" style="1" customWidth="1"/>
    <col min="7" max="7" width="10.28515625" style="1" customWidth="1"/>
    <col min="8" max="13" width="9.140625" style="1" customWidth="1"/>
    <col min="14" max="14" width="2.85546875" style="1" customWidth="1"/>
    <col min="15" max="16384" width="9.140625" style="1"/>
  </cols>
  <sheetData>
    <row r="1" spans="2:14" ht="13.5" customHeight="1">
      <c r="B1" s="20" t="str">
        <f>UPPER("Project Details")</f>
        <v>PROJECT DETAILS</v>
      </c>
      <c r="C1" s="21"/>
      <c r="D1" s="21"/>
      <c r="E1" s="21"/>
      <c r="F1" s="21"/>
      <c r="G1" s="21"/>
      <c r="H1" s="21"/>
      <c r="I1" s="21"/>
      <c r="J1" s="21"/>
      <c r="K1" s="21"/>
      <c r="L1" s="21"/>
      <c r="M1" s="21"/>
    </row>
    <row r="2" spans="2:14" ht="13.5" customHeight="1">
      <c r="B2" s="22"/>
      <c r="C2" s="23"/>
      <c r="D2" s="23"/>
      <c r="E2" s="23"/>
      <c r="F2" s="23"/>
      <c r="G2" s="23"/>
      <c r="H2" s="23"/>
      <c r="I2" s="23"/>
      <c r="J2" s="23"/>
      <c r="K2" s="23"/>
      <c r="L2" s="23"/>
      <c r="M2" s="23"/>
    </row>
    <row r="3" spans="2:14" ht="15" customHeight="1">
      <c r="B3" s="24"/>
      <c r="C3" s="25"/>
      <c r="D3" s="25"/>
      <c r="E3" s="25"/>
      <c r="F3" s="25"/>
      <c r="G3" s="25"/>
      <c r="H3" s="25"/>
      <c r="I3" s="25"/>
      <c r="J3" s="25"/>
      <c r="K3" s="25"/>
      <c r="L3" s="25"/>
      <c r="M3" s="25"/>
    </row>
    <row r="4" spans="2:14" ht="5.25" customHeight="1"/>
    <row r="5" spans="2:14" ht="5.25" customHeight="1"/>
    <row r="6" spans="2:14">
      <c r="B6" s="41" t="s">
        <v>0</v>
      </c>
      <c r="C6" s="41"/>
      <c r="D6" s="41"/>
      <c r="E6" s="41"/>
      <c r="F6" s="41"/>
      <c r="G6" s="41"/>
      <c r="H6" s="41"/>
      <c r="I6" s="41"/>
      <c r="J6" s="41"/>
      <c r="K6" s="41"/>
      <c r="L6" s="41"/>
      <c r="M6" s="41"/>
    </row>
    <row r="7" spans="2:14">
      <c r="B7" s="40" t="s">
        <v>1</v>
      </c>
      <c r="C7" s="40"/>
      <c r="D7" s="40"/>
      <c r="E7" s="40"/>
      <c r="F7" s="40"/>
      <c r="G7" s="40"/>
      <c r="H7" s="40"/>
      <c r="I7" s="40"/>
      <c r="J7" s="40"/>
      <c r="K7" s="40"/>
      <c r="L7" s="40"/>
      <c r="M7" s="40"/>
      <c r="N7" s="3"/>
    </row>
    <row r="8" spans="2:14">
      <c r="B8" s="40"/>
      <c r="C8" s="40"/>
      <c r="D8" s="40"/>
      <c r="E8" s="40"/>
      <c r="F8" s="40"/>
      <c r="G8" s="40"/>
      <c r="H8" s="40"/>
      <c r="I8" s="40"/>
      <c r="J8" s="40"/>
      <c r="K8" s="40"/>
      <c r="L8" s="40"/>
      <c r="M8" s="40"/>
      <c r="N8" s="3"/>
    </row>
    <row r="9" spans="2:14">
      <c r="D9" s="3"/>
      <c r="E9" s="3"/>
      <c r="F9" s="3"/>
      <c r="G9" s="3"/>
      <c r="H9" s="3"/>
      <c r="I9" s="3"/>
      <c r="J9" s="3"/>
      <c r="K9" s="3"/>
      <c r="L9" s="3"/>
      <c r="M9" s="3"/>
      <c r="N9" s="3"/>
    </row>
    <row r="10" spans="2:14">
      <c r="B10" s="27" t="s">
        <v>2</v>
      </c>
      <c r="C10" s="49"/>
      <c r="D10" s="33" t="s">
        <v>3</v>
      </c>
      <c r="E10" s="34"/>
      <c r="F10" s="34"/>
      <c r="G10" s="35"/>
      <c r="H10" s="26" t="s">
        <v>4</v>
      </c>
      <c r="I10" s="27"/>
      <c r="J10" s="2" t="s">
        <v>5</v>
      </c>
      <c r="K10" s="28"/>
      <c r="L10" s="29"/>
      <c r="M10" s="30"/>
    </row>
    <row r="11" spans="2:14">
      <c r="J11" s="2" t="s">
        <v>6</v>
      </c>
      <c r="K11" s="28"/>
      <c r="L11" s="29"/>
      <c r="M11" s="30"/>
    </row>
    <row r="12" spans="2:14">
      <c r="B12" s="50" t="s">
        <v>7</v>
      </c>
      <c r="C12" s="50"/>
      <c r="D12" s="42" t="s">
        <v>8</v>
      </c>
      <c r="E12" s="43"/>
      <c r="F12" s="44"/>
      <c r="G12" s="45"/>
      <c r="J12" s="2" t="s">
        <v>9</v>
      </c>
      <c r="K12" s="28"/>
      <c r="L12" s="29"/>
      <c r="M12" s="30"/>
    </row>
    <row r="13" spans="2:14">
      <c r="D13" s="42"/>
      <c r="E13" s="46"/>
      <c r="F13" s="47"/>
      <c r="G13" s="48"/>
    </row>
    <row r="14" spans="2:14">
      <c r="D14" s="2" t="s">
        <v>10</v>
      </c>
      <c r="E14" s="33"/>
      <c r="F14" s="34"/>
      <c r="G14" s="35"/>
      <c r="H14" s="26" t="s">
        <v>11</v>
      </c>
      <c r="I14" s="27"/>
      <c r="J14" s="2" t="s">
        <v>5</v>
      </c>
      <c r="K14" s="28"/>
      <c r="L14" s="29"/>
      <c r="M14" s="30"/>
    </row>
    <row r="15" spans="2:14">
      <c r="D15" s="2" t="s">
        <v>12</v>
      </c>
      <c r="E15" s="33"/>
      <c r="F15" s="34"/>
      <c r="G15" s="35"/>
      <c r="J15" s="2" t="s">
        <v>13</v>
      </c>
      <c r="K15" s="28"/>
      <c r="L15" s="29"/>
      <c r="M15" s="30"/>
    </row>
    <row r="16" spans="2:14">
      <c r="D16" s="2" t="s">
        <v>14</v>
      </c>
      <c r="E16" s="33"/>
      <c r="F16" s="34"/>
      <c r="G16" s="35"/>
      <c r="J16" s="2" t="s">
        <v>15</v>
      </c>
      <c r="K16" s="28"/>
      <c r="L16" s="29"/>
      <c r="M16" s="30"/>
    </row>
    <row r="18" spans="2:13">
      <c r="B18" s="39" t="s">
        <v>16</v>
      </c>
      <c r="C18" s="39"/>
      <c r="D18" s="39"/>
      <c r="E18" s="39"/>
      <c r="F18" s="39"/>
      <c r="G18" s="39"/>
      <c r="H18" s="39"/>
      <c r="I18" s="39"/>
      <c r="J18" s="39"/>
      <c r="K18" s="39"/>
      <c r="L18" s="39"/>
      <c r="M18" s="39"/>
    </row>
    <row r="19" spans="2:13">
      <c r="B19" s="39"/>
      <c r="C19" s="39"/>
      <c r="D19" s="39"/>
      <c r="E19" s="39"/>
      <c r="F19" s="39"/>
      <c r="G19" s="39"/>
      <c r="H19" s="39"/>
      <c r="I19" s="39"/>
      <c r="J19" s="39"/>
      <c r="K19" s="39"/>
      <c r="L19" s="39"/>
      <c r="M19" s="39"/>
    </row>
    <row r="20" spans="2:13">
      <c r="B20" s="39"/>
      <c r="C20" s="39"/>
      <c r="D20" s="39"/>
      <c r="E20" s="39"/>
      <c r="F20" s="39"/>
      <c r="G20" s="39"/>
      <c r="H20" s="39"/>
      <c r="I20" s="39"/>
      <c r="J20" s="39"/>
      <c r="K20" s="39"/>
      <c r="L20" s="39"/>
      <c r="M20" s="39"/>
    </row>
    <row r="22" spans="2:13">
      <c r="B22" s="32" t="s">
        <v>17</v>
      </c>
      <c r="C22" s="32"/>
      <c r="D22" s="32"/>
      <c r="E22" s="32"/>
      <c r="F22" s="32"/>
      <c r="G22" s="32"/>
      <c r="H22" s="32"/>
      <c r="I22" s="32"/>
      <c r="J22" s="32"/>
      <c r="K22" s="32"/>
      <c r="L22" s="32"/>
      <c r="M22" s="32"/>
    </row>
    <row r="23" spans="2:13">
      <c r="B23" s="32"/>
      <c r="C23" s="32"/>
      <c r="D23" s="32"/>
      <c r="E23" s="32"/>
      <c r="F23" s="32"/>
      <c r="G23" s="32"/>
      <c r="H23" s="32"/>
      <c r="I23" s="32"/>
      <c r="J23" s="32"/>
      <c r="K23" s="32"/>
      <c r="L23" s="32"/>
      <c r="M23" s="32"/>
    </row>
    <row r="24" spans="2:13">
      <c r="B24" s="32"/>
      <c r="C24" s="32"/>
      <c r="D24" s="32"/>
      <c r="E24" s="32"/>
      <c r="F24" s="32"/>
      <c r="G24" s="32"/>
      <c r="H24" s="32"/>
      <c r="I24" s="32"/>
      <c r="J24" s="32"/>
      <c r="K24" s="32"/>
      <c r="L24" s="32"/>
      <c r="M24" s="32"/>
    </row>
    <row r="25" spans="2:13">
      <c r="B25" s="32"/>
      <c r="C25" s="32"/>
      <c r="D25" s="32"/>
      <c r="E25" s="32"/>
      <c r="F25" s="32"/>
      <c r="G25" s="32"/>
      <c r="H25" s="32"/>
      <c r="I25" s="32"/>
      <c r="J25" s="32"/>
      <c r="K25" s="32"/>
      <c r="L25" s="32"/>
      <c r="M25" s="32"/>
    </row>
    <row r="26" spans="2:13">
      <c r="B26" s="32"/>
      <c r="C26" s="32"/>
      <c r="D26" s="32"/>
      <c r="E26" s="32"/>
      <c r="F26" s="32"/>
      <c r="G26" s="32"/>
      <c r="H26" s="32"/>
      <c r="I26" s="32"/>
      <c r="J26" s="32"/>
      <c r="K26" s="32"/>
      <c r="L26" s="32"/>
      <c r="M26" s="32"/>
    </row>
    <row r="27" spans="2:13">
      <c r="B27" s="32"/>
      <c r="C27" s="32"/>
      <c r="D27" s="32"/>
      <c r="E27" s="32"/>
      <c r="F27" s="32"/>
      <c r="G27" s="32"/>
      <c r="H27" s="32"/>
      <c r="I27" s="32"/>
      <c r="J27" s="32"/>
      <c r="K27" s="32"/>
      <c r="L27" s="32"/>
      <c r="M27" s="32"/>
    </row>
    <row r="28" spans="2:13" ht="15" customHeight="1"/>
    <row r="29" spans="2:13">
      <c r="B29" s="36" t="s">
        <v>18</v>
      </c>
      <c r="C29" s="37"/>
      <c r="D29" s="37"/>
      <c r="E29" s="37"/>
      <c r="F29" s="37"/>
      <c r="G29" s="38"/>
      <c r="H29" s="15" t="s">
        <v>19</v>
      </c>
      <c r="I29" s="15"/>
      <c r="J29" s="15"/>
      <c r="K29" s="15"/>
      <c r="L29" s="15"/>
      <c r="M29" s="15"/>
    </row>
    <row r="30" spans="2:13">
      <c r="B30" s="31" t="s">
        <v>20</v>
      </c>
      <c r="C30" s="18"/>
      <c r="D30" s="18"/>
      <c r="E30" s="18"/>
      <c r="F30" s="18"/>
      <c r="G30" s="19"/>
      <c r="H30" s="15"/>
      <c r="I30" s="15"/>
      <c r="J30" s="15"/>
      <c r="K30" s="15"/>
      <c r="L30" s="15"/>
      <c r="M30" s="15"/>
    </row>
    <row r="31" spans="2:13">
      <c r="B31" s="82" t="s">
        <v>21</v>
      </c>
      <c r="C31" s="83"/>
      <c r="D31" s="83"/>
      <c r="E31" s="83"/>
      <c r="F31" s="83"/>
      <c r="G31" s="84"/>
      <c r="H31" s="15" t="s">
        <v>19</v>
      </c>
      <c r="I31" s="15"/>
      <c r="J31" s="15"/>
      <c r="K31" s="15"/>
      <c r="L31" s="15"/>
      <c r="M31" s="15"/>
    </row>
    <row r="32" spans="2:13">
      <c r="B32" s="13"/>
      <c r="C32" s="18" t="s">
        <v>22</v>
      </c>
      <c r="D32" s="18"/>
      <c r="E32" s="18"/>
      <c r="F32" s="18"/>
      <c r="G32" s="19"/>
      <c r="H32" s="15" t="s">
        <v>19</v>
      </c>
      <c r="I32" s="15"/>
      <c r="J32" s="15"/>
      <c r="K32" s="15"/>
      <c r="L32" s="15"/>
      <c r="M32" s="15"/>
    </row>
    <row r="33" spans="2:13">
      <c r="B33" s="13"/>
      <c r="C33" s="18" t="s">
        <v>23</v>
      </c>
      <c r="D33" s="18"/>
      <c r="E33" s="18"/>
      <c r="F33" s="18"/>
      <c r="G33" s="19"/>
      <c r="H33" s="15" t="s">
        <v>19</v>
      </c>
      <c r="I33" s="15"/>
      <c r="J33" s="15"/>
      <c r="K33" s="15"/>
      <c r="L33" s="15"/>
      <c r="M33" s="15"/>
    </row>
    <row r="34" spans="2:13">
      <c r="B34" s="82" t="s">
        <v>24</v>
      </c>
      <c r="C34" s="83"/>
      <c r="D34" s="83"/>
      <c r="E34" s="83"/>
      <c r="F34" s="83"/>
      <c r="G34" s="84"/>
      <c r="H34" s="15" t="s">
        <v>19</v>
      </c>
      <c r="I34" s="15"/>
      <c r="J34" s="15"/>
      <c r="K34" s="15"/>
      <c r="L34" s="15"/>
      <c r="M34" s="15"/>
    </row>
    <row r="35" spans="2:13">
      <c r="B35" s="14"/>
      <c r="C35" s="16" t="s">
        <v>25</v>
      </c>
      <c r="D35" s="16"/>
      <c r="E35" s="16"/>
      <c r="F35" s="16"/>
      <c r="G35" s="17"/>
      <c r="H35" s="15" t="s">
        <v>19</v>
      </c>
      <c r="I35" s="15"/>
      <c r="J35" s="15"/>
      <c r="K35" s="15"/>
      <c r="L35" s="15"/>
      <c r="M35" s="15"/>
    </row>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sheetData>
  <sheetProtection algorithmName="SHA-512" hashValue="gQW1nmx4lS7jxIKenO4BoM7wphPhny6ff2O+6jZti4mp+fE2D0FzH/dEpnoUzfUMJr0PoHpHs8MJK2UKAoZxOA==" saltValue="vd2SLNRfXsHBLbWFB4CYww==" spinCount="100000" sheet="1" objects="1" scenarios="1"/>
  <mergeCells count="35">
    <mergeCell ref="E15:G15"/>
    <mergeCell ref="E14:G14"/>
    <mergeCell ref="B10:C10"/>
    <mergeCell ref="B12:C12"/>
    <mergeCell ref="D10:G10"/>
    <mergeCell ref="H10:I10"/>
    <mergeCell ref="K10:M10"/>
    <mergeCell ref="K11:M11"/>
    <mergeCell ref="K12:M12"/>
    <mergeCell ref="D12:D13"/>
    <mergeCell ref="E12:G13"/>
    <mergeCell ref="B1:M3"/>
    <mergeCell ref="B31:G31"/>
    <mergeCell ref="H14:I14"/>
    <mergeCell ref="K14:M14"/>
    <mergeCell ref="K15:M15"/>
    <mergeCell ref="K16:M16"/>
    <mergeCell ref="H31:M31"/>
    <mergeCell ref="B30:G30"/>
    <mergeCell ref="H30:M30"/>
    <mergeCell ref="B22:M27"/>
    <mergeCell ref="E16:G16"/>
    <mergeCell ref="B29:G29"/>
    <mergeCell ref="H29:M29"/>
    <mergeCell ref="B18:M20"/>
    <mergeCell ref="B7:M8"/>
    <mergeCell ref="B6:M6"/>
    <mergeCell ref="B34:G34"/>
    <mergeCell ref="H34:M34"/>
    <mergeCell ref="C35:G35"/>
    <mergeCell ref="H35:M35"/>
    <mergeCell ref="C32:G32"/>
    <mergeCell ref="C33:G33"/>
    <mergeCell ref="H33:M33"/>
    <mergeCell ref="H32:M32"/>
  </mergeCells>
  <pageMargins left="0.7" right="0.7" top="0.75" bottom="0.75" header="0.3" footer="0.3"/>
  <pageSetup orientation="landscape" r:id="rId1"/>
  <headerFooter>
    <oddFooter>&amp;L&amp;9Construction Budget V1&amp;R&amp;9Revision Date: 10/2/2025</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10EBB993-F709-401F-9142-1F653D6D5877}">
          <x14:formula1>
            <xm:f>Hidden!$A$1:$A$4</xm:f>
          </x14:formula1>
          <xm:sqref>H29:M29</xm:sqref>
        </x14:dataValidation>
        <x14:dataValidation type="list" allowBlank="1" showInputMessage="1" showErrorMessage="1" xr:uid="{0A605C1B-BDC2-4A6F-9798-AA363470C5ED}">
          <x14:formula1>
            <xm:f>Hidden!$B$1:$B$4</xm:f>
          </x14:formula1>
          <xm:sqref>H31:M32 H34:M34</xm:sqref>
        </x14:dataValidation>
        <x14:dataValidation type="list" allowBlank="1" showInputMessage="1" showErrorMessage="1" xr:uid="{E9116FB0-E9FF-4828-98D0-DA33DB8E748A}">
          <x14:formula1>
            <xm:f>Hidden!$C$1:$C$8</xm:f>
          </x14:formula1>
          <xm:sqref>H33:M33</xm:sqref>
        </x14:dataValidation>
        <x14:dataValidation type="list" allowBlank="1" showInputMessage="1" showErrorMessage="1" xr:uid="{619F3EEC-C723-4B84-A8D0-6BA947B3198F}">
          <x14:formula1>
            <xm:f>Hidden!$E$1:$E$4</xm:f>
          </x14:formula1>
          <xm:sqref>H35:M35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CAE4-5D0B-4DEE-856D-CF80983F3C8C}">
  <sheetPr>
    <pageSetUpPr autoPageBreaks="0"/>
  </sheetPr>
  <dimension ref="B1:N105"/>
  <sheetViews>
    <sheetView showGridLines="0" topLeftCell="A78" zoomScaleNormal="100" workbookViewId="0">
      <selection activeCell="B8" sqref="B8"/>
    </sheetView>
  </sheetViews>
  <sheetFormatPr defaultColWidth="9.140625" defaultRowHeight="13.5" zeroHeight="1"/>
  <cols>
    <col min="1" max="1" width="2.85546875" style="1" customWidth="1"/>
    <col min="2" max="3" width="9.140625" style="1" customWidth="1"/>
    <col min="4" max="4" width="12.28515625" style="1" customWidth="1"/>
    <col min="5" max="6" width="9.140625" style="1" customWidth="1"/>
    <col min="7" max="7" width="5.7109375" style="1" customWidth="1"/>
    <col min="8" max="13" width="9.140625" style="1" customWidth="1"/>
    <col min="14" max="14" width="19" style="1" customWidth="1"/>
    <col min="15" max="15" width="2.85546875" style="1" customWidth="1"/>
    <col min="16" max="16384" width="9.140625" style="1"/>
  </cols>
  <sheetData>
    <row r="1" spans="2:14" ht="13.5" customHeight="1">
      <c r="B1" s="23" t="str">
        <f>UPPER("Construction Budget")</f>
        <v>CONSTRUCTION BUDGET</v>
      </c>
      <c r="C1" s="23"/>
      <c r="D1" s="23"/>
      <c r="E1" s="23"/>
      <c r="F1" s="23"/>
      <c r="G1" s="23"/>
      <c r="H1" s="23"/>
      <c r="I1" s="23"/>
      <c r="J1" s="23"/>
      <c r="K1" s="23"/>
      <c r="L1" s="23"/>
      <c r="M1" s="23"/>
      <c r="N1" s="23"/>
    </row>
    <row r="2" spans="2:14" ht="13.5" customHeight="1">
      <c r="B2" s="23"/>
      <c r="C2" s="23"/>
      <c r="D2" s="23"/>
      <c r="E2" s="23"/>
      <c r="F2" s="23"/>
      <c r="G2" s="23"/>
      <c r="H2" s="23"/>
      <c r="I2" s="23"/>
      <c r="J2" s="23"/>
      <c r="K2" s="23"/>
      <c r="L2" s="23"/>
      <c r="M2" s="23"/>
      <c r="N2" s="23"/>
    </row>
    <row r="3" spans="2:14" ht="13.5" customHeight="1">
      <c r="B3" s="23"/>
      <c r="C3" s="23"/>
      <c r="D3" s="23"/>
      <c r="E3" s="23"/>
      <c r="F3" s="23"/>
      <c r="G3" s="23"/>
      <c r="H3" s="23"/>
      <c r="I3" s="23"/>
      <c r="J3" s="23"/>
      <c r="K3" s="23"/>
      <c r="L3" s="23"/>
      <c r="M3" s="23"/>
      <c r="N3" s="23"/>
    </row>
    <row r="4" spans="2:14" ht="16.5">
      <c r="E4" s="6"/>
      <c r="F4" s="6"/>
      <c r="G4" s="6"/>
      <c r="H4" s="6"/>
      <c r="I4" s="6"/>
      <c r="J4" s="6"/>
      <c r="K4" s="6"/>
      <c r="L4" s="6"/>
      <c r="M4" s="6"/>
      <c r="N4" s="6"/>
    </row>
    <row r="5" spans="2:14" ht="18">
      <c r="B5" s="53" t="s">
        <v>2</v>
      </c>
      <c r="C5" s="53"/>
      <c r="D5" s="10" t="str">
        <f>'Step 1. Project Details'!D10</f>
        <v xml:space="preserve"> </v>
      </c>
      <c r="E5" s="6"/>
      <c r="F5" s="6"/>
      <c r="G5" s="6"/>
      <c r="H5" s="6"/>
      <c r="I5" s="6"/>
      <c r="J5" s="6"/>
      <c r="K5" s="6"/>
      <c r="L5" s="6"/>
      <c r="M5" s="6"/>
      <c r="N5" s="6"/>
    </row>
    <row r="6" spans="2:14" ht="18">
      <c r="B6" s="53" t="s">
        <v>26</v>
      </c>
      <c r="C6" s="53"/>
      <c r="D6" s="10" t="str">
        <f>_xlfn.TEXTJOIN(", ", TRUE,
  'Step 1. Project Details'!E12,
  'Step 1. Project Details'!E14,
  'Step 1. Project Details'!E15 &amp; " " &amp; 'Step 1. Project Details'!E16
)</f>
        <v xml:space="preserve"> </v>
      </c>
      <c r="E6" s="6"/>
      <c r="F6" s="6"/>
      <c r="G6" s="6"/>
      <c r="H6" s="6"/>
      <c r="I6" s="6"/>
      <c r="J6" s="6"/>
      <c r="K6" s="6"/>
      <c r="L6" s="6"/>
      <c r="M6" s="6"/>
      <c r="N6" s="6"/>
    </row>
    <row r="7" spans="2:14" ht="15" customHeight="1">
      <c r="B7" s="55" t="s">
        <v>27</v>
      </c>
      <c r="C7" s="55"/>
      <c r="D7" s="55"/>
      <c r="E7" s="55"/>
      <c r="F7" s="55"/>
      <c r="G7" s="55"/>
      <c r="H7" s="55"/>
      <c r="I7" s="55"/>
      <c r="J7" s="55"/>
      <c r="K7" s="55"/>
      <c r="L7" s="55"/>
      <c r="M7" s="55"/>
      <c r="N7" s="55"/>
    </row>
    <row r="8" spans="2:14" ht="15" customHeight="1">
      <c r="B8" s="54" t="str">
        <f>'Step 1. Project Details'!B22</f>
        <v>Example : Demolition of existing Duplex to add new construction of 2,415 sq/ft Triplex. Build 1 addition ADU on lot.</v>
      </c>
      <c r="C8" s="54"/>
      <c r="D8" s="54"/>
      <c r="E8" s="54"/>
      <c r="F8" s="54"/>
      <c r="G8" s="54"/>
      <c r="H8" s="54"/>
      <c r="I8" s="54"/>
      <c r="J8" s="54"/>
      <c r="K8" s="54"/>
      <c r="L8" s="54"/>
      <c r="M8" s="54"/>
      <c r="N8" s="54"/>
    </row>
    <row r="9" spans="2:14" ht="16.5" customHeight="1">
      <c r="B9" s="54"/>
      <c r="C9" s="54"/>
      <c r="D9" s="54"/>
      <c r="E9" s="54"/>
      <c r="F9" s="54"/>
      <c r="G9" s="54"/>
      <c r="H9" s="54"/>
      <c r="I9" s="54"/>
      <c r="J9" s="54"/>
      <c r="K9" s="54"/>
      <c r="L9" s="54"/>
      <c r="M9" s="54"/>
      <c r="N9" s="54"/>
    </row>
    <row r="10" spans="2:14" ht="16.5" customHeight="1">
      <c r="B10" s="54"/>
      <c r="C10" s="54"/>
      <c r="D10" s="54"/>
      <c r="E10" s="54"/>
      <c r="F10" s="54"/>
      <c r="G10" s="54"/>
      <c r="H10" s="54"/>
      <c r="I10" s="54"/>
      <c r="J10" s="54"/>
      <c r="K10" s="54"/>
      <c r="L10" s="54"/>
      <c r="M10" s="54"/>
      <c r="N10" s="54"/>
    </row>
    <row r="11" spans="2:14" ht="16.5" customHeight="1">
      <c r="B11" s="54"/>
      <c r="C11" s="54"/>
      <c r="D11" s="54"/>
      <c r="E11" s="54"/>
      <c r="F11" s="54"/>
      <c r="G11" s="54"/>
      <c r="H11" s="54"/>
      <c r="I11" s="54"/>
      <c r="J11" s="54"/>
      <c r="K11" s="54"/>
      <c r="L11" s="54"/>
      <c r="M11" s="54"/>
      <c r="N11" s="54"/>
    </row>
    <row r="12" spans="2:14" ht="16.5" customHeight="1">
      <c r="B12" s="54"/>
      <c r="C12" s="54"/>
      <c r="D12" s="54"/>
      <c r="E12" s="54"/>
      <c r="F12" s="54"/>
      <c r="G12" s="54"/>
      <c r="H12" s="54"/>
      <c r="I12" s="54"/>
      <c r="J12" s="54"/>
      <c r="K12" s="54"/>
      <c r="L12" s="54"/>
      <c r="M12" s="54"/>
      <c r="N12" s="54"/>
    </row>
    <row r="13" spans="2:14" ht="16.5" customHeight="1">
      <c r="B13" s="54"/>
      <c r="C13" s="54"/>
      <c r="D13" s="54"/>
      <c r="E13" s="54"/>
      <c r="F13" s="54"/>
      <c r="G13" s="54"/>
      <c r="H13" s="54"/>
      <c r="I13" s="54"/>
      <c r="J13" s="54"/>
      <c r="K13" s="54"/>
      <c r="L13" s="54"/>
      <c r="M13" s="54"/>
      <c r="N13" s="54"/>
    </row>
    <row r="14" spans="2:14" ht="8.25" customHeight="1">
      <c r="B14" s="6"/>
      <c r="C14" s="6"/>
      <c r="D14" s="6"/>
      <c r="E14" s="6"/>
      <c r="F14" s="6"/>
      <c r="G14" s="6"/>
      <c r="H14" s="6"/>
      <c r="I14" s="6"/>
      <c r="J14" s="6"/>
      <c r="K14" s="6"/>
      <c r="L14" s="6"/>
      <c r="M14" s="6"/>
      <c r="N14" s="6"/>
    </row>
    <row r="15" spans="2:14" ht="8.25" customHeight="1">
      <c r="B15" s="6"/>
      <c r="C15" s="6"/>
      <c r="D15" s="6"/>
      <c r="E15" s="6"/>
      <c r="F15" s="6"/>
      <c r="G15" s="6"/>
      <c r="H15" s="6"/>
      <c r="I15" s="6"/>
      <c r="J15" s="6"/>
      <c r="K15" s="6"/>
      <c r="L15" s="6"/>
      <c r="M15" s="6"/>
      <c r="N15" s="6"/>
    </row>
    <row r="16" spans="2:14" ht="16.5">
      <c r="B16" s="7" t="s">
        <v>28</v>
      </c>
      <c r="C16" s="85" t="s">
        <v>29</v>
      </c>
      <c r="D16" s="85"/>
      <c r="E16" s="85"/>
      <c r="F16" s="85"/>
      <c r="G16" s="85"/>
      <c r="H16" s="86" t="s">
        <v>30</v>
      </c>
      <c r="I16" s="86"/>
      <c r="J16" s="86" t="s">
        <v>31</v>
      </c>
      <c r="K16" s="86"/>
      <c r="L16" s="86"/>
      <c r="M16" s="86"/>
      <c r="N16" s="86"/>
    </row>
    <row r="17" spans="2:14" ht="16.5">
      <c r="B17" s="8"/>
      <c r="C17" s="85" t="s">
        <v>32</v>
      </c>
      <c r="D17" s="85"/>
      <c r="E17" s="85"/>
      <c r="F17" s="85"/>
      <c r="G17" s="85"/>
      <c r="H17" s="86"/>
      <c r="I17" s="86"/>
      <c r="J17" s="86"/>
      <c r="K17" s="86"/>
      <c r="L17" s="86"/>
      <c r="M17" s="86"/>
      <c r="N17" s="86"/>
    </row>
    <row r="18" spans="2:14" ht="16.5">
      <c r="B18" s="9">
        <v>1</v>
      </c>
      <c r="C18" s="86" t="s">
        <v>33</v>
      </c>
      <c r="D18" s="86"/>
      <c r="E18" s="86"/>
      <c r="F18" s="86"/>
      <c r="G18" s="86"/>
      <c r="H18" s="56">
        <v>0</v>
      </c>
      <c r="I18" s="56"/>
      <c r="J18" s="51"/>
      <c r="K18" s="51"/>
      <c r="L18" s="51"/>
      <c r="M18" s="51"/>
      <c r="N18" s="51"/>
    </row>
    <row r="19" spans="2:14" ht="16.5">
      <c r="B19" s="9">
        <v>2</v>
      </c>
      <c r="C19" s="86" t="s">
        <v>34</v>
      </c>
      <c r="D19" s="86"/>
      <c r="E19" s="86"/>
      <c r="F19" s="86"/>
      <c r="G19" s="86"/>
      <c r="H19" s="56">
        <v>0</v>
      </c>
      <c r="I19" s="56"/>
      <c r="J19" s="51"/>
      <c r="K19" s="51"/>
      <c r="L19" s="51"/>
      <c r="M19" s="51"/>
      <c r="N19" s="51"/>
    </row>
    <row r="20" spans="2:14" ht="16.5">
      <c r="B20" s="9">
        <v>3</v>
      </c>
      <c r="C20" s="86" t="s">
        <v>35</v>
      </c>
      <c r="D20" s="86"/>
      <c r="E20" s="86"/>
      <c r="F20" s="86"/>
      <c r="G20" s="86"/>
      <c r="H20" s="56">
        <v>0</v>
      </c>
      <c r="I20" s="56"/>
      <c r="J20" s="51"/>
      <c r="K20" s="51"/>
      <c r="L20" s="51"/>
      <c r="M20" s="51"/>
      <c r="N20" s="51"/>
    </row>
    <row r="21" spans="2:14" ht="16.5">
      <c r="B21" s="9">
        <v>4</v>
      </c>
      <c r="C21" s="86" t="s">
        <v>36</v>
      </c>
      <c r="D21" s="86"/>
      <c r="E21" s="86"/>
      <c r="F21" s="86"/>
      <c r="G21" s="86"/>
      <c r="H21" s="56">
        <v>0</v>
      </c>
      <c r="I21" s="56"/>
      <c r="J21" s="51"/>
      <c r="K21" s="51"/>
      <c r="L21" s="51"/>
      <c r="M21" s="51"/>
      <c r="N21" s="51"/>
    </row>
    <row r="22" spans="2:14" ht="16.5">
      <c r="B22" s="9">
        <v>5</v>
      </c>
      <c r="C22" s="86" t="s">
        <v>37</v>
      </c>
      <c r="D22" s="86"/>
      <c r="E22" s="86"/>
      <c r="F22" s="86"/>
      <c r="G22" s="86"/>
      <c r="H22" s="56">
        <v>0</v>
      </c>
      <c r="I22" s="56"/>
      <c r="J22" s="51"/>
      <c r="K22" s="51"/>
      <c r="L22" s="51"/>
      <c r="M22" s="51"/>
      <c r="N22" s="51"/>
    </row>
    <row r="23" spans="2:14" ht="16.5">
      <c r="B23" s="9">
        <v>6</v>
      </c>
      <c r="C23" s="86" t="s">
        <v>38</v>
      </c>
      <c r="D23" s="86"/>
      <c r="E23" s="86"/>
      <c r="F23" s="86"/>
      <c r="G23" s="86"/>
      <c r="H23" s="56">
        <v>0</v>
      </c>
      <c r="I23" s="56"/>
      <c r="J23" s="51"/>
      <c r="K23" s="51"/>
      <c r="L23" s="51"/>
      <c r="M23" s="51"/>
      <c r="N23" s="51"/>
    </row>
    <row r="24" spans="2:14" ht="16.5">
      <c r="B24" s="9"/>
      <c r="C24" s="85" t="s">
        <v>39</v>
      </c>
      <c r="D24" s="85"/>
      <c r="E24" s="85"/>
      <c r="F24" s="85"/>
      <c r="G24" s="85"/>
      <c r="H24" s="86"/>
      <c r="I24" s="86"/>
      <c r="J24" s="52"/>
      <c r="K24" s="52"/>
      <c r="L24" s="52"/>
      <c r="M24" s="52"/>
      <c r="N24" s="52"/>
    </row>
    <row r="25" spans="2:14" ht="16.5">
      <c r="B25" s="9">
        <v>7</v>
      </c>
      <c r="C25" s="86" t="s">
        <v>40</v>
      </c>
      <c r="D25" s="86"/>
      <c r="E25" s="86"/>
      <c r="F25" s="86"/>
      <c r="G25" s="86"/>
      <c r="H25" s="56">
        <v>0</v>
      </c>
      <c r="I25" s="56"/>
      <c r="J25" s="51"/>
      <c r="K25" s="51"/>
      <c r="L25" s="51"/>
      <c r="M25" s="51"/>
      <c r="N25" s="51"/>
    </row>
    <row r="26" spans="2:14" ht="16.5">
      <c r="B26" s="9">
        <v>8</v>
      </c>
      <c r="C26" s="86" t="s">
        <v>41</v>
      </c>
      <c r="D26" s="86"/>
      <c r="E26" s="86"/>
      <c r="F26" s="86"/>
      <c r="G26" s="86"/>
      <c r="H26" s="56">
        <v>0</v>
      </c>
      <c r="I26" s="56"/>
      <c r="J26" s="51"/>
      <c r="K26" s="51"/>
      <c r="L26" s="51"/>
      <c r="M26" s="51"/>
      <c r="N26" s="51"/>
    </row>
    <row r="27" spans="2:14" ht="16.5">
      <c r="B27" s="9"/>
      <c r="C27" s="85" t="s">
        <v>42</v>
      </c>
      <c r="D27" s="85"/>
      <c r="E27" s="85"/>
      <c r="F27" s="85"/>
      <c r="G27" s="85"/>
      <c r="H27" s="86"/>
      <c r="I27" s="86"/>
      <c r="J27" s="52"/>
      <c r="K27" s="52"/>
      <c r="L27" s="52"/>
      <c r="M27" s="52"/>
      <c r="N27" s="52"/>
    </row>
    <row r="28" spans="2:14" ht="16.5">
      <c r="B28" s="9">
        <v>9</v>
      </c>
      <c r="C28" s="86" t="s">
        <v>43</v>
      </c>
      <c r="D28" s="86"/>
      <c r="E28" s="86"/>
      <c r="F28" s="86"/>
      <c r="G28" s="86"/>
      <c r="H28" s="56">
        <v>0</v>
      </c>
      <c r="I28" s="56"/>
      <c r="J28" s="51"/>
      <c r="K28" s="51"/>
      <c r="L28" s="51"/>
      <c r="M28" s="51"/>
      <c r="N28" s="51"/>
    </row>
    <row r="29" spans="2:14" ht="16.5">
      <c r="B29" s="9">
        <v>10</v>
      </c>
      <c r="C29" s="86" t="s">
        <v>44</v>
      </c>
      <c r="D29" s="86"/>
      <c r="E29" s="86"/>
      <c r="F29" s="86"/>
      <c r="G29" s="86"/>
      <c r="H29" s="56">
        <v>0</v>
      </c>
      <c r="I29" s="56"/>
      <c r="J29" s="51"/>
      <c r="K29" s="51"/>
      <c r="L29" s="51"/>
      <c r="M29" s="51"/>
      <c r="N29" s="51"/>
    </row>
    <row r="30" spans="2:14" ht="16.5">
      <c r="B30" s="9">
        <v>11</v>
      </c>
      <c r="C30" s="86" t="s">
        <v>45</v>
      </c>
      <c r="D30" s="86"/>
      <c r="E30" s="86"/>
      <c r="F30" s="86"/>
      <c r="G30" s="86"/>
      <c r="H30" s="56">
        <v>0</v>
      </c>
      <c r="I30" s="56"/>
      <c r="J30" s="51"/>
      <c r="K30" s="51"/>
      <c r="L30" s="51"/>
      <c r="M30" s="51"/>
      <c r="N30" s="51"/>
    </row>
    <row r="31" spans="2:14" ht="16.5">
      <c r="B31" s="9">
        <v>12</v>
      </c>
      <c r="C31" s="86" t="s">
        <v>46</v>
      </c>
      <c r="D31" s="86"/>
      <c r="E31" s="86"/>
      <c r="F31" s="86"/>
      <c r="G31" s="86"/>
      <c r="H31" s="56">
        <v>0</v>
      </c>
      <c r="I31" s="56"/>
      <c r="J31" s="51"/>
      <c r="K31" s="51"/>
      <c r="L31" s="51"/>
      <c r="M31" s="51"/>
      <c r="N31" s="51"/>
    </row>
    <row r="32" spans="2:14" ht="16.5">
      <c r="B32" s="9">
        <v>13</v>
      </c>
      <c r="C32" s="86" t="s">
        <v>47</v>
      </c>
      <c r="D32" s="86"/>
      <c r="E32" s="86"/>
      <c r="F32" s="86"/>
      <c r="G32" s="86"/>
      <c r="H32" s="56">
        <v>0</v>
      </c>
      <c r="I32" s="56"/>
      <c r="J32" s="51"/>
      <c r="K32" s="51"/>
      <c r="L32" s="51"/>
      <c r="M32" s="51"/>
      <c r="N32" s="51"/>
    </row>
    <row r="33" spans="2:14" ht="16.5">
      <c r="B33" s="9">
        <v>14</v>
      </c>
      <c r="C33" s="86" t="s">
        <v>48</v>
      </c>
      <c r="D33" s="86"/>
      <c r="E33" s="86"/>
      <c r="F33" s="86"/>
      <c r="G33" s="86"/>
      <c r="H33" s="56">
        <v>0</v>
      </c>
      <c r="I33" s="56"/>
      <c r="J33" s="51"/>
      <c r="K33" s="51"/>
      <c r="L33" s="51"/>
      <c r="M33" s="51"/>
      <c r="N33" s="51"/>
    </row>
    <row r="34" spans="2:14" ht="16.5">
      <c r="B34" s="9">
        <v>15</v>
      </c>
      <c r="C34" s="86" t="s">
        <v>49</v>
      </c>
      <c r="D34" s="86"/>
      <c r="E34" s="86"/>
      <c r="F34" s="86"/>
      <c r="G34" s="86"/>
      <c r="H34" s="56">
        <v>0</v>
      </c>
      <c r="I34" s="56"/>
      <c r="J34" s="51"/>
      <c r="K34" s="51"/>
      <c r="L34" s="51"/>
      <c r="M34" s="51"/>
      <c r="N34" s="51"/>
    </row>
    <row r="35" spans="2:14" ht="16.5">
      <c r="B35" s="9">
        <v>16</v>
      </c>
      <c r="C35" s="86" t="s">
        <v>50</v>
      </c>
      <c r="D35" s="86"/>
      <c r="E35" s="86"/>
      <c r="F35" s="86"/>
      <c r="G35" s="86"/>
      <c r="H35" s="56">
        <v>0</v>
      </c>
      <c r="I35" s="56"/>
      <c r="J35" s="51"/>
      <c r="K35" s="51"/>
      <c r="L35" s="51"/>
      <c r="M35" s="51"/>
      <c r="N35" s="51"/>
    </row>
    <row r="36" spans="2:14" ht="16.5">
      <c r="B36" s="9"/>
      <c r="C36" s="85" t="s">
        <v>51</v>
      </c>
      <c r="D36" s="85"/>
      <c r="E36" s="85"/>
      <c r="F36" s="85"/>
      <c r="G36" s="85"/>
      <c r="H36" s="86"/>
      <c r="I36" s="86"/>
      <c r="J36" s="52"/>
      <c r="K36" s="52"/>
      <c r="L36" s="52"/>
      <c r="M36" s="52"/>
      <c r="N36" s="52"/>
    </row>
    <row r="37" spans="2:14" ht="16.5">
      <c r="B37" s="9">
        <v>17</v>
      </c>
      <c r="C37" s="86" t="s">
        <v>52</v>
      </c>
      <c r="D37" s="86"/>
      <c r="E37" s="86"/>
      <c r="F37" s="86"/>
      <c r="G37" s="86"/>
      <c r="H37" s="56">
        <v>0</v>
      </c>
      <c r="I37" s="56"/>
      <c r="J37" s="51"/>
      <c r="K37" s="51"/>
      <c r="L37" s="51"/>
      <c r="M37" s="51"/>
      <c r="N37" s="51"/>
    </row>
    <row r="38" spans="2:14" ht="16.5">
      <c r="B38" s="9">
        <v>18</v>
      </c>
      <c r="C38" s="86" t="s">
        <v>53</v>
      </c>
      <c r="D38" s="86"/>
      <c r="E38" s="86"/>
      <c r="F38" s="86"/>
      <c r="G38" s="86"/>
      <c r="H38" s="56">
        <v>0</v>
      </c>
      <c r="I38" s="56"/>
      <c r="J38" s="51"/>
      <c r="K38" s="51"/>
      <c r="L38" s="51"/>
      <c r="M38" s="51"/>
      <c r="N38" s="51"/>
    </row>
    <row r="39" spans="2:14" ht="16.5">
      <c r="B39" s="9">
        <v>19</v>
      </c>
      <c r="C39" s="86" t="s">
        <v>54</v>
      </c>
      <c r="D39" s="86"/>
      <c r="E39" s="86"/>
      <c r="F39" s="86"/>
      <c r="G39" s="86"/>
      <c r="H39" s="56">
        <v>0</v>
      </c>
      <c r="I39" s="56"/>
      <c r="J39" s="51"/>
      <c r="K39" s="51"/>
      <c r="L39" s="51"/>
      <c r="M39" s="51"/>
      <c r="N39" s="51"/>
    </row>
    <row r="40" spans="2:14" ht="16.5">
      <c r="B40" s="9">
        <v>20</v>
      </c>
      <c r="C40" s="86" t="s">
        <v>55</v>
      </c>
      <c r="D40" s="86"/>
      <c r="E40" s="86"/>
      <c r="F40" s="86"/>
      <c r="G40" s="86"/>
      <c r="H40" s="56">
        <v>0</v>
      </c>
      <c r="I40" s="56"/>
      <c r="J40" s="51"/>
      <c r="K40" s="51"/>
      <c r="L40" s="51"/>
      <c r="M40" s="51"/>
      <c r="N40" s="51"/>
    </row>
    <row r="41" spans="2:14" ht="16.5">
      <c r="B41" s="9">
        <v>21</v>
      </c>
      <c r="C41" s="86" t="s">
        <v>56</v>
      </c>
      <c r="D41" s="86"/>
      <c r="E41" s="86"/>
      <c r="F41" s="86"/>
      <c r="G41" s="86"/>
      <c r="H41" s="56">
        <v>0</v>
      </c>
      <c r="I41" s="56"/>
      <c r="J41" s="51"/>
      <c r="K41" s="51"/>
      <c r="L41" s="51"/>
      <c r="M41" s="51"/>
      <c r="N41" s="51"/>
    </row>
    <row r="42" spans="2:14" ht="16.5">
      <c r="B42" s="9">
        <v>22</v>
      </c>
      <c r="C42" s="86" t="s">
        <v>57</v>
      </c>
      <c r="D42" s="86"/>
      <c r="E42" s="86"/>
      <c r="F42" s="86"/>
      <c r="G42" s="86"/>
      <c r="H42" s="56">
        <v>0</v>
      </c>
      <c r="I42" s="56"/>
      <c r="J42" s="51"/>
      <c r="K42" s="51"/>
      <c r="L42" s="51"/>
      <c r="M42" s="51"/>
      <c r="N42" s="51"/>
    </row>
    <row r="43" spans="2:14" ht="16.5">
      <c r="B43" s="9">
        <v>23</v>
      </c>
      <c r="C43" s="86" t="s">
        <v>58</v>
      </c>
      <c r="D43" s="86"/>
      <c r="E43" s="86"/>
      <c r="F43" s="86"/>
      <c r="G43" s="86"/>
      <c r="H43" s="56">
        <v>0</v>
      </c>
      <c r="I43" s="56"/>
      <c r="J43" s="51"/>
      <c r="K43" s="51"/>
      <c r="L43" s="51"/>
      <c r="M43" s="51"/>
      <c r="N43" s="51"/>
    </row>
    <row r="44" spans="2:14" ht="16.5">
      <c r="B44" s="9">
        <v>24</v>
      </c>
      <c r="C44" s="86" t="s">
        <v>59</v>
      </c>
      <c r="D44" s="86"/>
      <c r="E44" s="86"/>
      <c r="F44" s="86"/>
      <c r="G44" s="86"/>
      <c r="H44" s="56">
        <v>0</v>
      </c>
      <c r="I44" s="56"/>
      <c r="J44" s="51"/>
      <c r="K44" s="51"/>
      <c r="L44" s="51"/>
      <c r="M44" s="51"/>
      <c r="N44" s="51"/>
    </row>
    <row r="45" spans="2:14" ht="16.5">
      <c r="B45" s="9">
        <v>25</v>
      </c>
      <c r="C45" s="86" t="s">
        <v>60</v>
      </c>
      <c r="D45" s="86"/>
      <c r="E45" s="86"/>
      <c r="F45" s="86"/>
      <c r="G45" s="86"/>
      <c r="H45" s="56">
        <v>0</v>
      </c>
      <c r="I45" s="56"/>
      <c r="J45" s="51"/>
      <c r="K45" s="51"/>
      <c r="L45" s="51"/>
      <c r="M45" s="51"/>
      <c r="N45" s="51"/>
    </row>
    <row r="46" spans="2:14" ht="16.5">
      <c r="B46" s="9">
        <v>26</v>
      </c>
      <c r="C46" s="86" t="s">
        <v>61</v>
      </c>
      <c r="D46" s="86"/>
      <c r="E46" s="86"/>
      <c r="F46" s="86"/>
      <c r="G46" s="86"/>
      <c r="H46" s="56">
        <v>0</v>
      </c>
      <c r="I46" s="56"/>
      <c r="J46" s="51"/>
      <c r="K46" s="51"/>
      <c r="L46" s="51"/>
      <c r="M46" s="51"/>
      <c r="N46" s="51"/>
    </row>
    <row r="47" spans="2:14" ht="16.5">
      <c r="B47" s="9"/>
      <c r="C47" s="87" t="s">
        <v>62</v>
      </c>
      <c r="D47" s="88"/>
      <c r="E47" s="88"/>
      <c r="F47" s="88"/>
      <c r="G47" s="89"/>
      <c r="H47" s="90"/>
      <c r="I47" s="91"/>
      <c r="J47" s="68"/>
      <c r="K47" s="69"/>
      <c r="L47" s="69"/>
      <c r="M47" s="69"/>
      <c r="N47" s="70"/>
    </row>
    <row r="48" spans="2:14" ht="16.5">
      <c r="B48" s="9">
        <v>27</v>
      </c>
      <c r="C48" s="90" t="s">
        <v>63</v>
      </c>
      <c r="D48" s="92"/>
      <c r="E48" s="92"/>
      <c r="F48" s="92"/>
      <c r="G48" s="91"/>
      <c r="H48" s="63">
        <v>0</v>
      </c>
      <c r="I48" s="64"/>
      <c r="J48" s="65"/>
      <c r="K48" s="66"/>
      <c r="L48" s="66"/>
      <c r="M48" s="66"/>
      <c r="N48" s="67"/>
    </row>
    <row r="49" spans="2:14" ht="16.5">
      <c r="B49" s="9">
        <v>28</v>
      </c>
      <c r="C49" s="90" t="s">
        <v>64</v>
      </c>
      <c r="D49" s="92"/>
      <c r="E49" s="92"/>
      <c r="F49" s="92"/>
      <c r="G49" s="91"/>
      <c r="H49" s="63">
        <v>0</v>
      </c>
      <c r="I49" s="64"/>
      <c r="J49" s="65"/>
      <c r="K49" s="66"/>
      <c r="L49" s="66"/>
      <c r="M49" s="66"/>
      <c r="N49" s="67"/>
    </row>
    <row r="50" spans="2:14" ht="16.5">
      <c r="B50" s="9">
        <v>29</v>
      </c>
      <c r="C50" s="90" t="s">
        <v>65</v>
      </c>
      <c r="D50" s="92"/>
      <c r="E50" s="92"/>
      <c r="F50" s="92"/>
      <c r="G50" s="91"/>
      <c r="H50" s="63">
        <v>0</v>
      </c>
      <c r="I50" s="64"/>
      <c r="J50" s="65"/>
      <c r="K50" s="66"/>
      <c r="L50" s="66"/>
      <c r="M50" s="66"/>
      <c r="N50" s="67"/>
    </row>
    <row r="51" spans="2:14" ht="16.5">
      <c r="B51" s="9">
        <v>30</v>
      </c>
      <c r="C51" s="90" t="s">
        <v>66</v>
      </c>
      <c r="D51" s="92"/>
      <c r="E51" s="92"/>
      <c r="F51" s="92"/>
      <c r="G51" s="91"/>
      <c r="H51" s="63">
        <v>0</v>
      </c>
      <c r="I51" s="64"/>
      <c r="J51" s="65"/>
      <c r="K51" s="66"/>
      <c r="L51" s="66"/>
      <c r="M51" s="66"/>
      <c r="N51" s="67"/>
    </row>
    <row r="52" spans="2:14" ht="16.5">
      <c r="B52" s="9">
        <v>31</v>
      </c>
      <c r="C52" s="90" t="s">
        <v>67</v>
      </c>
      <c r="D52" s="92"/>
      <c r="E52" s="92"/>
      <c r="F52" s="92"/>
      <c r="G52" s="91"/>
      <c r="H52" s="63">
        <v>0</v>
      </c>
      <c r="I52" s="64"/>
      <c r="J52" s="65"/>
      <c r="K52" s="66"/>
      <c r="L52" s="66"/>
      <c r="M52" s="66"/>
      <c r="N52" s="67"/>
    </row>
    <row r="53" spans="2:14" ht="16.5">
      <c r="B53" s="9">
        <v>32</v>
      </c>
      <c r="C53" s="90" t="s">
        <v>68</v>
      </c>
      <c r="D53" s="92"/>
      <c r="E53" s="92"/>
      <c r="F53" s="92"/>
      <c r="G53" s="91"/>
      <c r="H53" s="63">
        <v>0</v>
      </c>
      <c r="I53" s="64"/>
      <c r="J53" s="65"/>
      <c r="K53" s="66"/>
      <c r="L53" s="66"/>
      <c r="M53" s="66"/>
      <c r="N53" s="67"/>
    </row>
    <row r="54" spans="2:14" ht="16.5">
      <c r="B54" s="9">
        <v>33</v>
      </c>
      <c r="C54" s="90" t="s">
        <v>69</v>
      </c>
      <c r="D54" s="92"/>
      <c r="E54" s="92"/>
      <c r="F54" s="92"/>
      <c r="G54" s="91"/>
      <c r="H54" s="63">
        <v>0</v>
      </c>
      <c r="I54" s="64"/>
      <c r="J54" s="65"/>
      <c r="K54" s="66"/>
      <c r="L54" s="66"/>
      <c r="M54" s="66"/>
      <c r="N54" s="67"/>
    </row>
    <row r="55" spans="2:14" ht="16.5">
      <c r="B55" s="9">
        <v>34</v>
      </c>
      <c r="C55" s="90" t="s">
        <v>70</v>
      </c>
      <c r="D55" s="92"/>
      <c r="E55" s="92"/>
      <c r="F55" s="92"/>
      <c r="G55" s="91"/>
      <c r="H55" s="63">
        <v>0</v>
      </c>
      <c r="I55" s="64"/>
      <c r="J55" s="65"/>
      <c r="K55" s="66"/>
      <c r="L55" s="66"/>
      <c r="M55" s="66"/>
      <c r="N55" s="67"/>
    </row>
    <row r="56" spans="2:14" ht="16.5">
      <c r="B56" s="9"/>
      <c r="C56" s="87" t="s">
        <v>71</v>
      </c>
      <c r="D56" s="88"/>
      <c r="E56" s="88"/>
      <c r="F56" s="88"/>
      <c r="G56" s="89"/>
      <c r="H56" s="90"/>
      <c r="I56" s="91"/>
      <c r="J56" s="68"/>
      <c r="K56" s="69"/>
      <c r="L56" s="69"/>
      <c r="M56" s="69"/>
      <c r="N56" s="70"/>
    </row>
    <row r="57" spans="2:14" ht="16.5">
      <c r="B57" s="9">
        <v>35</v>
      </c>
      <c r="C57" s="90" t="s">
        <v>72</v>
      </c>
      <c r="D57" s="92"/>
      <c r="E57" s="92"/>
      <c r="F57" s="92"/>
      <c r="G57" s="91"/>
      <c r="H57" s="63">
        <v>0</v>
      </c>
      <c r="I57" s="64"/>
      <c r="J57" s="65"/>
      <c r="K57" s="66"/>
      <c r="L57" s="66"/>
      <c r="M57" s="66"/>
      <c r="N57" s="67"/>
    </row>
    <row r="58" spans="2:14" ht="16.5">
      <c r="B58" s="9">
        <v>36</v>
      </c>
      <c r="C58" s="90" t="s">
        <v>73</v>
      </c>
      <c r="D58" s="92"/>
      <c r="E58" s="92"/>
      <c r="F58" s="92"/>
      <c r="G58" s="91"/>
      <c r="H58" s="63">
        <v>0</v>
      </c>
      <c r="I58" s="64"/>
      <c r="J58" s="65"/>
      <c r="K58" s="66"/>
      <c r="L58" s="66"/>
      <c r="M58" s="66"/>
      <c r="N58" s="67"/>
    </row>
    <row r="59" spans="2:14" ht="16.5">
      <c r="B59" s="9">
        <v>37</v>
      </c>
      <c r="C59" s="90" t="s">
        <v>74</v>
      </c>
      <c r="D59" s="92"/>
      <c r="E59" s="92"/>
      <c r="F59" s="92"/>
      <c r="G59" s="91"/>
      <c r="H59" s="63">
        <v>0</v>
      </c>
      <c r="I59" s="64"/>
      <c r="J59" s="65"/>
      <c r="K59" s="66"/>
      <c r="L59" s="66"/>
      <c r="M59" s="66"/>
      <c r="N59" s="67"/>
    </row>
    <row r="60" spans="2:14" ht="16.5">
      <c r="B60" s="9">
        <v>38</v>
      </c>
      <c r="C60" s="90" t="s">
        <v>75</v>
      </c>
      <c r="D60" s="92"/>
      <c r="E60" s="92"/>
      <c r="F60" s="92"/>
      <c r="G60" s="91"/>
      <c r="H60" s="63">
        <v>0</v>
      </c>
      <c r="I60" s="64"/>
      <c r="J60" s="65"/>
      <c r="K60" s="66"/>
      <c r="L60" s="66"/>
      <c r="M60" s="66"/>
      <c r="N60" s="67"/>
    </row>
    <row r="61" spans="2:14" ht="16.5">
      <c r="B61" s="9">
        <v>39</v>
      </c>
      <c r="C61" s="90" t="s">
        <v>76</v>
      </c>
      <c r="D61" s="92"/>
      <c r="E61" s="92"/>
      <c r="F61" s="92"/>
      <c r="G61" s="91"/>
      <c r="H61" s="63">
        <v>0</v>
      </c>
      <c r="I61" s="64"/>
      <c r="J61" s="65"/>
      <c r="K61" s="66"/>
      <c r="L61" s="66"/>
      <c r="M61" s="66"/>
      <c r="N61" s="67"/>
    </row>
    <row r="62" spans="2:14" ht="16.5">
      <c r="B62" s="9">
        <v>40</v>
      </c>
      <c r="C62" s="90" t="s">
        <v>77</v>
      </c>
      <c r="D62" s="92"/>
      <c r="E62" s="92"/>
      <c r="F62" s="92"/>
      <c r="G62" s="91"/>
      <c r="H62" s="63">
        <v>0</v>
      </c>
      <c r="I62" s="64"/>
      <c r="J62" s="65"/>
      <c r="K62" s="66"/>
      <c r="L62" s="66"/>
      <c r="M62" s="66"/>
      <c r="N62" s="67"/>
    </row>
    <row r="63" spans="2:14" ht="16.5">
      <c r="B63" s="9">
        <v>41</v>
      </c>
      <c r="C63" s="90" t="s">
        <v>78</v>
      </c>
      <c r="D63" s="92"/>
      <c r="E63" s="92"/>
      <c r="F63" s="92"/>
      <c r="G63" s="91"/>
      <c r="H63" s="63">
        <v>0</v>
      </c>
      <c r="I63" s="64"/>
      <c r="J63" s="65"/>
      <c r="K63" s="66"/>
      <c r="L63" s="66"/>
      <c r="M63" s="66"/>
      <c r="N63" s="67"/>
    </row>
    <row r="64" spans="2:14" ht="16.5">
      <c r="B64" s="9"/>
      <c r="C64" s="85" t="s">
        <v>79</v>
      </c>
      <c r="D64" s="85"/>
      <c r="E64" s="85"/>
      <c r="F64" s="85"/>
      <c r="G64" s="85"/>
      <c r="H64" s="86"/>
      <c r="I64" s="86"/>
      <c r="J64" s="52"/>
      <c r="K64" s="52"/>
      <c r="L64" s="52"/>
      <c r="M64" s="52"/>
      <c r="N64" s="52"/>
    </row>
    <row r="65" spans="2:14" ht="16.5">
      <c r="B65" s="9">
        <v>42</v>
      </c>
      <c r="C65" s="86" t="s">
        <v>80</v>
      </c>
      <c r="D65" s="86"/>
      <c r="E65" s="86"/>
      <c r="F65" s="86"/>
      <c r="G65" s="86"/>
      <c r="H65" s="56">
        <v>0</v>
      </c>
      <c r="I65" s="56"/>
      <c r="J65" s="51"/>
      <c r="K65" s="51"/>
      <c r="L65" s="51"/>
      <c r="M65" s="51"/>
      <c r="N65" s="51"/>
    </row>
    <row r="66" spans="2:14" ht="16.5">
      <c r="B66" s="9">
        <v>43</v>
      </c>
      <c r="C66" s="86" t="s">
        <v>81</v>
      </c>
      <c r="D66" s="86"/>
      <c r="E66" s="86"/>
      <c r="F66" s="86"/>
      <c r="G66" s="86"/>
      <c r="H66" s="56">
        <v>0</v>
      </c>
      <c r="I66" s="56"/>
      <c r="J66" s="51"/>
      <c r="K66" s="51"/>
      <c r="L66" s="51"/>
      <c r="M66" s="51"/>
      <c r="N66" s="51"/>
    </row>
    <row r="67" spans="2:14" ht="16.5">
      <c r="B67" s="9">
        <v>44</v>
      </c>
      <c r="C67" s="86" t="s">
        <v>82</v>
      </c>
      <c r="D67" s="86"/>
      <c r="E67" s="86"/>
      <c r="F67" s="86"/>
      <c r="G67" s="86"/>
      <c r="H67" s="56">
        <v>0</v>
      </c>
      <c r="I67" s="56"/>
      <c r="J67" s="51"/>
      <c r="K67" s="51"/>
      <c r="L67" s="51"/>
      <c r="M67" s="51"/>
      <c r="N67" s="51"/>
    </row>
    <row r="68" spans="2:14" ht="16.5">
      <c r="B68" s="9">
        <v>45</v>
      </c>
      <c r="C68" s="86" t="s">
        <v>83</v>
      </c>
      <c r="D68" s="86"/>
      <c r="E68" s="86"/>
      <c r="F68" s="86"/>
      <c r="G68" s="86"/>
      <c r="H68" s="56">
        <v>0</v>
      </c>
      <c r="I68" s="56"/>
      <c r="J68" s="51"/>
      <c r="K68" s="51"/>
      <c r="L68" s="51"/>
      <c r="M68" s="51"/>
      <c r="N68" s="51"/>
    </row>
    <row r="69" spans="2:14" ht="16.5">
      <c r="B69" s="9">
        <v>46</v>
      </c>
      <c r="C69" s="86" t="s">
        <v>84</v>
      </c>
      <c r="D69" s="86"/>
      <c r="E69" s="86"/>
      <c r="F69" s="86"/>
      <c r="G69" s="86"/>
      <c r="H69" s="56">
        <v>0</v>
      </c>
      <c r="I69" s="56"/>
      <c r="J69" s="51"/>
      <c r="K69" s="51"/>
      <c r="L69" s="51"/>
      <c r="M69" s="51"/>
      <c r="N69" s="51"/>
    </row>
    <row r="70" spans="2:14" ht="16.5">
      <c r="B70" s="9">
        <v>47</v>
      </c>
      <c r="C70" s="86" t="s">
        <v>85</v>
      </c>
      <c r="D70" s="86"/>
      <c r="E70" s="86"/>
      <c r="F70" s="86"/>
      <c r="G70" s="86"/>
      <c r="H70" s="56">
        <v>0</v>
      </c>
      <c r="I70" s="56"/>
      <c r="J70" s="51"/>
      <c r="K70" s="51"/>
      <c r="L70" s="51"/>
      <c r="M70" s="51"/>
      <c r="N70" s="51"/>
    </row>
    <row r="71" spans="2:14" ht="16.5">
      <c r="B71" s="9">
        <v>48</v>
      </c>
      <c r="C71" s="86" t="s">
        <v>86</v>
      </c>
      <c r="D71" s="86"/>
      <c r="E71" s="86"/>
      <c r="F71" s="86"/>
      <c r="G71" s="86"/>
      <c r="H71" s="56">
        <v>0</v>
      </c>
      <c r="I71" s="56"/>
      <c r="J71" s="51"/>
      <c r="K71" s="51"/>
      <c r="L71" s="51"/>
      <c r="M71" s="51"/>
      <c r="N71" s="51"/>
    </row>
    <row r="72" spans="2:14" ht="16.5">
      <c r="B72" s="9">
        <v>49</v>
      </c>
      <c r="C72" s="86" t="s">
        <v>87</v>
      </c>
      <c r="D72" s="86"/>
      <c r="E72" s="86"/>
      <c r="F72" s="86"/>
      <c r="G72" s="86"/>
      <c r="H72" s="56">
        <v>0</v>
      </c>
      <c r="I72" s="56"/>
      <c r="J72" s="51"/>
      <c r="K72" s="51"/>
      <c r="L72" s="51"/>
      <c r="M72" s="51"/>
      <c r="N72" s="51"/>
    </row>
    <row r="73" spans="2:14" ht="16.5">
      <c r="B73" s="9"/>
      <c r="C73" s="85" t="s">
        <v>88</v>
      </c>
      <c r="D73" s="85"/>
      <c r="E73" s="85"/>
      <c r="F73" s="85"/>
      <c r="G73" s="85"/>
      <c r="H73" s="86"/>
      <c r="I73" s="86"/>
      <c r="J73" s="52"/>
      <c r="K73" s="52"/>
      <c r="L73" s="52"/>
      <c r="M73" s="52"/>
      <c r="N73" s="52"/>
    </row>
    <row r="74" spans="2:14" ht="16.5">
      <c r="B74" s="9">
        <v>50</v>
      </c>
      <c r="C74" s="86" t="s">
        <v>89</v>
      </c>
      <c r="D74" s="86"/>
      <c r="E74" s="86"/>
      <c r="F74" s="86"/>
      <c r="G74" s="86"/>
      <c r="H74" s="56">
        <v>0</v>
      </c>
      <c r="I74" s="56"/>
      <c r="J74" s="51"/>
      <c r="K74" s="51"/>
      <c r="L74" s="51"/>
      <c r="M74" s="51"/>
      <c r="N74" s="51"/>
    </row>
    <row r="75" spans="2:14" ht="16.5">
      <c r="B75" s="9">
        <v>51</v>
      </c>
      <c r="C75" s="86" t="s">
        <v>90</v>
      </c>
      <c r="D75" s="86"/>
      <c r="E75" s="86"/>
      <c r="F75" s="86"/>
      <c r="G75" s="86"/>
      <c r="H75" s="56">
        <v>0</v>
      </c>
      <c r="I75" s="56"/>
      <c r="J75" s="51"/>
      <c r="K75" s="51"/>
      <c r="L75" s="51"/>
      <c r="M75" s="51"/>
      <c r="N75" s="51"/>
    </row>
    <row r="76" spans="2:14" ht="16.5">
      <c r="B76" s="9">
        <v>52</v>
      </c>
      <c r="C76" s="86" t="s">
        <v>91</v>
      </c>
      <c r="D76" s="86"/>
      <c r="E76" s="86"/>
      <c r="F76" s="86"/>
      <c r="G76" s="86"/>
      <c r="H76" s="56">
        <v>0</v>
      </c>
      <c r="I76" s="56"/>
      <c r="J76" s="51"/>
      <c r="K76" s="51"/>
      <c r="L76" s="51"/>
      <c r="M76" s="51"/>
      <c r="N76" s="51"/>
    </row>
    <row r="77" spans="2:14" ht="16.5">
      <c r="B77" s="9">
        <v>53</v>
      </c>
      <c r="C77" s="86" t="s">
        <v>92</v>
      </c>
      <c r="D77" s="86"/>
      <c r="E77" s="86"/>
      <c r="F77" s="86"/>
      <c r="G77" s="86"/>
      <c r="H77" s="56">
        <v>0</v>
      </c>
      <c r="I77" s="56"/>
      <c r="J77" s="51"/>
      <c r="K77" s="51"/>
      <c r="L77" s="51"/>
      <c r="M77" s="51"/>
      <c r="N77" s="51"/>
    </row>
    <row r="78" spans="2:14" ht="16.5">
      <c r="B78" s="9">
        <v>54</v>
      </c>
      <c r="C78" s="86" t="s">
        <v>93</v>
      </c>
      <c r="D78" s="86"/>
      <c r="E78" s="86"/>
      <c r="F78" s="86"/>
      <c r="G78" s="86"/>
      <c r="H78" s="56">
        <v>0</v>
      </c>
      <c r="I78" s="56"/>
      <c r="J78" s="51"/>
      <c r="K78" s="51"/>
      <c r="L78" s="51"/>
      <c r="M78" s="51"/>
      <c r="N78" s="51"/>
    </row>
    <row r="79" spans="2:14" ht="16.5">
      <c r="B79" s="9">
        <v>55</v>
      </c>
      <c r="C79" s="86" t="s">
        <v>94</v>
      </c>
      <c r="D79" s="86"/>
      <c r="E79" s="86"/>
      <c r="F79" s="86"/>
      <c r="G79" s="86"/>
      <c r="H79" s="56">
        <v>0</v>
      </c>
      <c r="I79" s="56"/>
      <c r="J79" s="51"/>
      <c r="K79" s="51"/>
      <c r="L79" s="51"/>
      <c r="M79" s="51"/>
      <c r="N79" s="51"/>
    </row>
    <row r="80" spans="2:14" ht="16.5">
      <c r="B80" s="9"/>
      <c r="C80" s="85" t="s">
        <v>95</v>
      </c>
      <c r="D80" s="85"/>
      <c r="E80" s="85"/>
      <c r="F80" s="85"/>
      <c r="G80" s="85"/>
      <c r="H80" s="86"/>
      <c r="I80" s="86"/>
      <c r="J80" s="52"/>
      <c r="K80" s="52"/>
      <c r="L80" s="52"/>
      <c r="M80" s="52"/>
      <c r="N80" s="52"/>
    </row>
    <row r="81" spans="2:14" ht="16.5">
      <c r="B81" s="9">
        <v>56</v>
      </c>
      <c r="C81" s="86" t="s">
        <v>96</v>
      </c>
      <c r="D81" s="86"/>
      <c r="E81" s="86"/>
      <c r="F81" s="86"/>
      <c r="G81" s="86"/>
      <c r="H81" s="56">
        <v>0</v>
      </c>
      <c r="I81" s="56"/>
      <c r="J81" s="51"/>
      <c r="K81" s="51"/>
      <c r="L81" s="51"/>
      <c r="M81" s="51"/>
      <c r="N81" s="51"/>
    </row>
    <row r="82" spans="2:14" ht="16.5">
      <c r="B82" s="9">
        <v>57</v>
      </c>
      <c r="C82" s="86" t="s">
        <v>97</v>
      </c>
      <c r="D82" s="86"/>
      <c r="E82" s="86"/>
      <c r="F82" s="86"/>
      <c r="G82" s="86"/>
      <c r="H82" s="56">
        <v>0</v>
      </c>
      <c r="I82" s="56"/>
      <c r="J82" s="51"/>
      <c r="K82" s="51"/>
      <c r="L82" s="51"/>
      <c r="M82" s="51"/>
      <c r="N82" s="51"/>
    </row>
    <row r="83" spans="2:14" ht="16.5">
      <c r="B83" s="9">
        <v>58</v>
      </c>
      <c r="C83" s="86" t="s">
        <v>98</v>
      </c>
      <c r="D83" s="86"/>
      <c r="E83" s="86"/>
      <c r="F83" s="86"/>
      <c r="G83" s="86"/>
      <c r="H83" s="56">
        <v>0</v>
      </c>
      <c r="I83" s="56"/>
      <c r="J83" s="51"/>
      <c r="K83" s="51"/>
      <c r="L83" s="51"/>
      <c r="M83" s="51"/>
      <c r="N83" s="51"/>
    </row>
    <row r="84" spans="2:14" ht="16.5">
      <c r="B84" s="9">
        <v>59</v>
      </c>
      <c r="C84" s="86" t="s">
        <v>99</v>
      </c>
      <c r="D84" s="86"/>
      <c r="E84" s="86"/>
      <c r="F84" s="86"/>
      <c r="G84" s="86"/>
      <c r="H84" s="56">
        <v>0</v>
      </c>
      <c r="I84" s="56"/>
      <c r="J84" s="51"/>
      <c r="K84" s="51"/>
      <c r="L84" s="51"/>
      <c r="M84" s="51"/>
      <c r="N84" s="51"/>
    </row>
    <row r="85" spans="2:14" ht="16.5">
      <c r="B85" s="9">
        <v>60</v>
      </c>
      <c r="C85" s="86" t="s">
        <v>100</v>
      </c>
      <c r="D85" s="86"/>
      <c r="E85" s="86"/>
      <c r="F85" s="86"/>
      <c r="G85" s="86"/>
      <c r="H85" s="56">
        <v>0</v>
      </c>
      <c r="I85" s="56"/>
      <c r="J85" s="51"/>
      <c r="K85" s="51"/>
      <c r="L85" s="51"/>
      <c r="M85" s="51"/>
      <c r="N85" s="51"/>
    </row>
    <row r="86" spans="2:14" ht="16.5">
      <c r="B86" s="9">
        <v>61</v>
      </c>
      <c r="C86" s="86" t="s">
        <v>101</v>
      </c>
      <c r="D86" s="86"/>
      <c r="E86" s="86"/>
      <c r="F86" s="86"/>
      <c r="G86" s="86"/>
      <c r="H86" s="56">
        <v>0</v>
      </c>
      <c r="I86" s="56"/>
      <c r="J86" s="51"/>
      <c r="K86" s="51"/>
      <c r="L86" s="51"/>
      <c r="M86" s="51"/>
      <c r="N86" s="51"/>
    </row>
    <row r="87" spans="2:14" ht="16.5">
      <c r="B87" s="9">
        <v>62</v>
      </c>
      <c r="C87" s="86" t="s">
        <v>102</v>
      </c>
      <c r="D87" s="86"/>
      <c r="E87" s="86"/>
      <c r="F87" s="86"/>
      <c r="G87" s="86"/>
      <c r="H87" s="56">
        <v>0</v>
      </c>
      <c r="I87" s="56"/>
      <c r="J87" s="51"/>
      <c r="K87" s="51"/>
      <c r="L87" s="51"/>
      <c r="M87" s="51"/>
      <c r="N87" s="51"/>
    </row>
    <row r="88" spans="2:14" ht="16.5">
      <c r="B88" s="9"/>
      <c r="C88" s="85" t="s">
        <v>103</v>
      </c>
      <c r="D88" s="85"/>
      <c r="E88" s="85"/>
      <c r="F88" s="85"/>
      <c r="G88" s="85"/>
      <c r="H88" s="86"/>
      <c r="I88" s="86"/>
      <c r="J88" s="52"/>
      <c r="K88" s="52"/>
      <c r="L88" s="52"/>
      <c r="M88" s="52"/>
      <c r="N88" s="52"/>
    </row>
    <row r="89" spans="2:14" ht="16.5">
      <c r="B89" s="9">
        <v>63</v>
      </c>
      <c r="C89" s="86" t="s">
        <v>104</v>
      </c>
      <c r="D89" s="86"/>
      <c r="E89" s="86"/>
      <c r="F89" s="86"/>
      <c r="G89" s="86"/>
      <c r="H89" s="56">
        <v>0</v>
      </c>
      <c r="I89" s="56"/>
      <c r="J89" s="51"/>
      <c r="K89" s="51"/>
      <c r="L89" s="51"/>
      <c r="M89" s="51"/>
      <c r="N89" s="51"/>
    </row>
    <row r="90" spans="2:14" ht="16.5">
      <c r="B90" s="9">
        <v>64</v>
      </c>
      <c r="C90" s="86" t="s">
        <v>105</v>
      </c>
      <c r="D90" s="86"/>
      <c r="E90" s="86"/>
      <c r="F90" s="86"/>
      <c r="G90" s="86"/>
      <c r="H90" s="56">
        <v>0</v>
      </c>
      <c r="I90" s="56"/>
      <c r="J90" s="51"/>
      <c r="K90" s="51"/>
      <c r="L90" s="51"/>
      <c r="M90" s="51"/>
      <c r="N90" s="51"/>
    </row>
    <row r="91" spans="2:14" ht="16.5">
      <c r="B91" s="9">
        <v>65</v>
      </c>
      <c r="C91" s="86" t="s">
        <v>106</v>
      </c>
      <c r="D91" s="86"/>
      <c r="E91" s="86"/>
      <c r="F91" s="86"/>
      <c r="G91" s="86"/>
      <c r="H91" s="56">
        <v>0</v>
      </c>
      <c r="I91" s="56"/>
      <c r="J91" s="51"/>
      <c r="K91" s="51"/>
      <c r="L91" s="51"/>
      <c r="M91" s="51"/>
      <c r="N91" s="51"/>
    </row>
    <row r="92" spans="2:14" ht="16.5">
      <c r="B92" s="9">
        <v>66</v>
      </c>
      <c r="C92" s="86" t="s">
        <v>107</v>
      </c>
      <c r="D92" s="86"/>
      <c r="E92" s="86"/>
      <c r="F92" s="86"/>
      <c r="G92" s="86"/>
      <c r="H92" s="56">
        <v>0</v>
      </c>
      <c r="I92" s="56"/>
      <c r="J92" s="51"/>
      <c r="K92" s="51"/>
      <c r="L92" s="51"/>
      <c r="M92" s="51"/>
      <c r="N92" s="51"/>
    </row>
    <row r="93" spans="2:14" ht="16.5">
      <c r="B93" s="9">
        <v>67</v>
      </c>
      <c r="C93" s="93" t="s">
        <v>108</v>
      </c>
      <c r="D93" s="93"/>
      <c r="E93" s="93"/>
      <c r="F93" s="93"/>
      <c r="G93" s="93"/>
      <c r="H93" s="56">
        <v>0</v>
      </c>
      <c r="I93" s="56"/>
      <c r="J93" s="51"/>
      <c r="K93" s="51"/>
      <c r="L93" s="51"/>
      <c r="M93" s="51"/>
      <c r="N93" s="51"/>
    </row>
    <row r="94" spans="2:14" ht="16.5">
      <c r="B94" s="9">
        <v>68</v>
      </c>
      <c r="C94" s="93" t="s">
        <v>108</v>
      </c>
      <c r="D94" s="93"/>
      <c r="E94" s="93"/>
      <c r="F94" s="93"/>
      <c r="G94" s="93"/>
      <c r="H94" s="56">
        <v>0</v>
      </c>
      <c r="I94" s="56"/>
      <c r="J94" s="51"/>
      <c r="K94" s="51"/>
      <c r="L94" s="51"/>
      <c r="M94" s="51"/>
      <c r="N94" s="51"/>
    </row>
    <row r="95" spans="2:14" ht="16.5">
      <c r="B95" s="9">
        <v>69</v>
      </c>
      <c r="C95" s="93" t="s">
        <v>108</v>
      </c>
      <c r="D95" s="93"/>
      <c r="E95" s="93"/>
      <c r="F95" s="93"/>
      <c r="G95" s="93"/>
      <c r="H95" s="56">
        <v>0</v>
      </c>
      <c r="I95" s="56"/>
      <c r="J95" s="51"/>
      <c r="K95" s="51"/>
      <c r="L95" s="51"/>
      <c r="M95" s="51"/>
      <c r="N95" s="51"/>
    </row>
    <row r="96" spans="2:14" ht="16.5">
      <c r="B96" s="9">
        <v>70</v>
      </c>
      <c r="C96" s="93" t="s">
        <v>108</v>
      </c>
      <c r="D96" s="93"/>
      <c r="E96" s="93"/>
      <c r="F96" s="93"/>
      <c r="G96" s="93"/>
      <c r="H96" s="56">
        <v>0</v>
      </c>
      <c r="I96" s="56"/>
      <c r="J96" s="51"/>
      <c r="K96" s="51"/>
      <c r="L96" s="51"/>
      <c r="M96" s="51"/>
      <c r="N96" s="51"/>
    </row>
    <row r="97" spans="2:14" ht="16.5">
      <c r="B97" s="9">
        <v>71</v>
      </c>
      <c r="C97" s="93" t="s">
        <v>108</v>
      </c>
      <c r="D97" s="93"/>
      <c r="E97" s="93"/>
      <c r="F97" s="93"/>
      <c r="G97" s="93"/>
      <c r="H97" s="56">
        <v>0</v>
      </c>
      <c r="I97" s="56"/>
      <c r="J97" s="51"/>
      <c r="K97" s="51"/>
      <c r="L97" s="51"/>
      <c r="M97" s="51"/>
      <c r="N97" s="51"/>
    </row>
    <row r="98" spans="2:14" ht="16.5">
      <c r="B98" s="9">
        <v>72</v>
      </c>
      <c r="C98" s="93" t="s">
        <v>108</v>
      </c>
      <c r="D98" s="93"/>
      <c r="E98" s="93"/>
      <c r="F98" s="93"/>
      <c r="G98" s="93"/>
      <c r="H98" s="56">
        <v>0</v>
      </c>
      <c r="I98" s="56"/>
      <c r="J98" s="51"/>
      <c r="K98" s="51"/>
      <c r="L98" s="51"/>
      <c r="M98" s="51"/>
      <c r="N98" s="51"/>
    </row>
    <row r="99" spans="2:14" ht="16.5">
      <c r="B99" s="9">
        <v>73</v>
      </c>
      <c r="C99" s="93" t="s">
        <v>108</v>
      </c>
      <c r="D99" s="93"/>
      <c r="E99" s="93"/>
      <c r="F99" s="93"/>
      <c r="G99" s="93"/>
      <c r="H99" s="56">
        <v>0</v>
      </c>
      <c r="I99" s="56"/>
      <c r="J99" s="51"/>
      <c r="K99" s="51"/>
      <c r="L99" s="51"/>
      <c r="M99" s="51"/>
      <c r="N99" s="51"/>
    </row>
    <row r="100" spans="2:14" ht="16.5">
      <c r="B100" s="9">
        <v>74</v>
      </c>
      <c r="C100" s="93" t="s">
        <v>108</v>
      </c>
      <c r="D100" s="93"/>
      <c r="E100" s="93"/>
      <c r="F100" s="93"/>
      <c r="G100" s="93"/>
      <c r="H100" s="56">
        <v>0</v>
      </c>
      <c r="I100" s="56"/>
      <c r="J100" s="51"/>
      <c r="K100" s="51"/>
      <c r="L100" s="51"/>
      <c r="M100" s="51"/>
      <c r="N100" s="51"/>
    </row>
    <row r="101" spans="2:14" ht="16.5">
      <c r="B101" s="9">
        <v>75</v>
      </c>
      <c r="C101" s="86" t="s">
        <v>109</v>
      </c>
      <c r="D101" s="86"/>
      <c r="E101" s="86"/>
      <c r="F101" s="86"/>
      <c r="G101" s="86"/>
      <c r="H101" s="56">
        <v>0</v>
      </c>
      <c r="I101" s="56"/>
      <c r="J101" s="52" t="s">
        <v>110</v>
      </c>
      <c r="K101" s="52"/>
      <c r="L101" s="52"/>
      <c r="M101" s="52"/>
      <c r="N101" s="52"/>
    </row>
    <row r="102" spans="2:14" ht="16.5">
      <c r="B102" s="5"/>
      <c r="C102" s="59" t="s">
        <v>111</v>
      </c>
      <c r="D102" s="59"/>
      <c r="E102" s="59"/>
      <c r="F102" s="59"/>
      <c r="G102" s="59"/>
      <c r="H102" s="57">
        <f>SUM(H18:I101)+H105</f>
        <v>0</v>
      </c>
      <c r="I102" s="58"/>
      <c r="J102" s="4"/>
      <c r="K102" s="4"/>
      <c r="L102" s="4"/>
      <c r="M102" s="4"/>
      <c r="N102" s="4"/>
    </row>
    <row r="103" spans="2:14" ht="16.5">
      <c r="B103" s="4"/>
      <c r="C103" s="60" t="s">
        <v>112</v>
      </c>
      <c r="D103" s="60"/>
      <c r="E103" s="60"/>
      <c r="F103" s="60"/>
      <c r="G103" s="60"/>
      <c r="H103" s="61">
        <f>SUM(H18:I23)</f>
        <v>0</v>
      </c>
      <c r="I103" s="62"/>
      <c r="J103" s="4"/>
      <c r="K103" s="4"/>
      <c r="L103" s="4"/>
      <c r="M103" s="4"/>
      <c r="N103" s="4"/>
    </row>
    <row r="104" spans="2:14" ht="16.5">
      <c r="B104" s="4"/>
      <c r="C104" s="60" t="s">
        <v>113</v>
      </c>
      <c r="D104" s="60"/>
      <c r="E104" s="60"/>
      <c r="F104" s="60"/>
      <c r="G104" s="60"/>
      <c r="H104" s="61">
        <f>SUM(H102-H101-H103-H105)</f>
        <v>0</v>
      </c>
      <c r="I104" s="62"/>
      <c r="J104" s="4"/>
      <c r="K104" s="4"/>
      <c r="L104" s="4"/>
      <c r="M104" s="4"/>
      <c r="N104" s="4"/>
    </row>
    <row r="105" spans="2:14" ht="16.5">
      <c r="C105" s="60" t="s">
        <v>114</v>
      </c>
      <c r="D105" s="60"/>
      <c r="E105" s="60"/>
      <c r="F105" s="60"/>
      <c r="G105" s="60"/>
      <c r="H105" s="56">
        <v>0</v>
      </c>
      <c r="I105" s="56"/>
    </row>
  </sheetData>
  <sheetProtection algorithmName="SHA-512" hashValue="AIKEKNX6oW+gKq8UObVNE7hE2M6x4hzYJpY51woTBVvlMUaFbD/ZwsKofPwR57TeOmJp4meaMMO6NkYmRx3Zxw==" saltValue="ofXoNoqldzsHr4AQFTUEIQ==" spinCount="100000" sheet="1" objects="1" scenarios="1"/>
  <mergeCells count="271">
    <mergeCell ref="C105:G105"/>
    <mergeCell ref="H105:I105"/>
    <mergeCell ref="H98:I98"/>
    <mergeCell ref="J98:N98"/>
    <mergeCell ref="C99:G99"/>
    <mergeCell ref="H99:I99"/>
    <mergeCell ref="J99:N99"/>
    <mergeCell ref="C97:G97"/>
    <mergeCell ref="H97:I97"/>
    <mergeCell ref="J97:N97"/>
    <mergeCell ref="C100:G100"/>
    <mergeCell ref="C101:G101"/>
    <mergeCell ref="C98:G98"/>
    <mergeCell ref="C21:G21"/>
    <mergeCell ref="C22:G22"/>
    <mergeCell ref="C23:G23"/>
    <mergeCell ref="C43:G43"/>
    <mergeCell ref="C44:G44"/>
    <mergeCell ref="C56:G56"/>
    <mergeCell ref="C57:G57"/>
    <mergeCell ref="C30:G30"/>
    <mergeCell ref="C31:G31"/>
    <mergeCell ref="C32:G32"/>
    <mergeCell ref="C33:G33"/>
    <mergeCell ref="C34:G34"/>
    <mergeCell ref="C35:G35"/>
    <mergeCell ref="C27:G27"/>
    <mergeCell ref="C28:G28"/>
    <mergeCell ref="C29:G29"/>
    <mergeCell ref="C25:G25"/>
    <mergeCell ref="C47:G47"/>
    <mergeCell ref="C48:G48"/>
    <mergeCell ref="C49:G49"/>
    <mergeCell ref="C50:G50"/>
    <mergeCell ref="C51:G51"/>
    <mergeCell ref="C52:G52"/>
    <mergeCell ref="C53:G53"/>
    <mergeCell ref="C24:G24"/>
    <mergeCell ref="C36:G36"/>
    <mergeCell ref="C37:G37"/>
    <mergeCell ref="C38:G38"/>
    <mergeCell ref="C26:G26"/>
    <mergeCell ref="C66:G66"/>
    <mergeCell ref="C60:G60"/>
    <mergeCell ref="C61:G61"/>
    <mergeCell ref="C62:G62"/>
    <mergeCell ref="C58:G58"/>
    <mergeCell ref="C59:G59"/>
    <mergeCell ref="C39:G39"/>
    <mergeCell ref="C40:G40"/>
    <mergeCell ref="C41:G41"/>
    <mergeCell ref="C42:G42"/>
    <mergeCell ref="C63:G63"/>
    <mergeCell ref="C64:G64"/>
    <mergeCell ref="C65:G65"/>
    <mergeCell ref="C45:G45"/>
    <mergeCell ref="C46:G46"/>
    <mergeCell ref="C54:G54"/>
    <mergeCell ref="C55:G55"/>
    <mergeCell ref="C72:G72"/>
    <mergeCell ref="C73:G73"/>
    <mergeCell ref="C74:G74"/>
    <mergeCell ref="C75:G75"/>
    <mergeCell ref="C76:G76"/>
    <mergeCell ref="C67:G67"/>
    <mergeCell ref="C68:G68"/>
    <mergeCell ref="C69:G69"/>
    <mergeCell ref="C70:G70"/>
    <mergeCell ref="C71:G71"/>
    <mergeCell ref="C82:G82"/>
    <mergeCell ref="C83:G83"/>
    <mergeCell ref="C84:G84"/>
    <mergeCell ref="C85:G85"/>
    <mergeCell ref="C86:G86"/>
    <mergeCell ref="C77:G77"/>
    <mergeCell ref="C78:G78"/>
    <mergeCell ref="C79:G79"/>
    <mergeCell ref="C80:G80"/>
    <mergeCell ref="C81:G81"/>
    <mergeCell ref="C92:G92"/>
    <mergeCell ref="C93:G93"/>
    <mergeCell ref="C94:G94"/>
    <mergeCell ref="C95:G95"/>
    <mergeCell ref="C96:G96"/>
    <mergeCell ref="C87:G87"/>
    <mergeCell ref="C88:G88"/>
    <mergeCell ref="C89:G89"/>
    <mergeCell ref="C90:G90"/>
    <mergeCell ref="C91:G91"/>
    <mergeCell ref="J36:N36"/>
    <mergeCell ref="J37:N37"/>
    <mergeCell ref="J38:N38"/>
    <mergeCell ref="J39:N39"/>
    <mergeCell ref="J40:N40"/>
    <mergeCell ref="J31:N31"/>
    <mergeCell ref="J32:N32"/>
    <mergeCell ref="J33:N33"/>
    <mergeCell ref="J34:N34"/>
    <mergeCell ref="J35:N35"/>
    <mergeCell ref="J46:N46"/>
    <mergeCell ref="J56:N56"/>
    <mergeCell ref="J57:N57"/>
    <mergeCell ref="J58:N58"/>
    <mergeCell ref="J59:N59"/>
    <mergeCell ref="J41:N41"/>
    <mergeCell ref="J42:N42"/>
    <mergeCell ref="J43:N43"/>
    <mergeCell ref="J44:N44"/>
    <mergeCell ref="J45:N45"/>
    <mergeCell ref="J47:N47"/>
    <mergeCell ref="J48:N48"/>
    <mergeCell ref="J49:N49"/>
    <mergeCell ref="J50:N50"/>
    <mergeCell ref="J51:N51"/>
    <mergeCell ref="J52:N52"/>
    <mergeCell ref="J53:N53"/>
    <mergeCell ref="J54:N54"/>
    <mergeCell ref="J55:N55"/>
    <mergeCell ref="J64:N64"/>
    <mergeCell ref="J65:N65"/>
    <mergeCell ref="J66:N66"/>
    <mergeCell ref="J67:N67"/>
    <mergeCell ref="J68:N68"/>
    <mergeCell ref="J60:N60"/>
    <mergeCell ref="J61:N61"/>
    <mergeCell ref="J62:N62"/>
    <mergeCell ref="J63:N63"/>
    <mergeCell ref="J74:N74"/>
    <mergeCell ref="J75:N75"/>
    <mergeCell ref="J76:N76"/>
    <mergeCell ref="J77:N77"/>
    <mergeCell ref="J78:N78"/>
    <mergeCell ref="J69:N69"/>
    <mergeCell ref="J70:N70"/>
    <mergeCell ref="J71:N71"/>
    <mergeCell ref="J72:N72"/>
    <mergeCell ref="J73:N73"/>
    <mergeCell ref="J89:N89"/>
    <mergeCell ref="J84:N84"/>
    <mergeCell ref="J85:N85"/>
    <mergeCell ref="J86:N86"/>
    <mergeCell ref="J87:N87"/>
    <mergeCell ref="J88:N88"/>
    <mergeCell ref="J79:N79"/>
    <mergeCell ref="J80:N80"/>
    <mergeCell ref="J81:N81"/>
    <mergeCell ref="J82:N82"/>
    <mergeCell ref="J83:N83"/>
    <mergeCell ref="H26:I26"/>
    <mergeCell ref="H27:I27"/>
    <mergeCell ref="H28:I28"/>
    <mergeCell ref="H29:I29"/>
    <mergeCell ref="H30:I30"/>
    <mergeCell ref="H21:I21"/>
    <mergeCell ref="H22:I22"/>
    <mergeCell ref="H23:I23"/>
    <mergeCell ref="H24:I24"/>
    <mergeCell ref="H25:I25"/>
    <mergeCell ref="H36:I36"/>
    <mergeCell ref="H37:I37"/>
    <mergeCell ref="H38:I38"/>
    <mergeCell ref="H39:I39"/>
    <mergeCell ref="H40:I40"/>
    <mergeCell ref="H31:I31"/>
    <mergeCell ref="H32:I32"/>
    <mergeCell ref="H33:I33"/>
    <mergeCell ref="H34:I34"/>
    <mergeCell ref="H35:I35"/>
    <mergeCell ref="H46:I46"/>
    <mergeCell ref="H56:I56"/>
    <mergeCell ref="H57:I57"/>
    <mergeCell ref="H58:I58"/>
    <mergeCell ref="H59:I59"/>
    <mergeCell ref="H41:I41"/>
    <mergeCell ref="H42:I42"/>
    <mergeCell ref="H43:I43"/>
    <mergeCell ref="H44:I44"/>
    <mergeCell ref="H45:I45"/>
    <mergeCell ref="H47:I47"/>
    <mergeCell ref="H48:I48"/>
    <mergeCell ref="H49:I49"/>
    <mergeCell ref="H50:I50"/>
    <mergeCell ref="H51:I51"/>
    <mergeCell ref="H52:I52"/>
    <mergeCell ref="H53:I53"/>
    <mergeCell ref="H54:I54"/>
    <mergeCell ref="H55:I55"/>
    <mergeCell ref="H64:I64"/>
    <mergeCell ref="H65:I65"/>
    <mergeCell ref="H66:I66"/>
    <mergeCell ref="H67:I67"/>
    <mergeCell ref="H68:I68"/>
    <mergeCell ref="H60:I60"/>
    <mergeCell ref="H61:I61"/>
    <mergeCell ref="H62:I62"/>
    <mergeCell ref="H63:I63"/>
    <mergeCell ref="H74:I74"/>
    <mergeCell ref="H75:I75"/>
    <mergeCell ref="H76:I76"/>
    <mergeCell ref="H77:I77"/>
    <mergeCell ref="H78:I78"/>
    <mergeCell ref="H69:I69"/>
    <mergeCell ref="H70:I70"/>
    <mergeCell ref="H71:I71"/>
    <mergeCell ref="H72:I72"/>
    <mergeCell ref="H73:I73"/>
    <mergeCell ref="H92:I92"/>
    <mergeCell ref="H93:I93"/>
    <mergeCell ref="H84:I84"/>
    <mergeCell ref="H85:I85"/>
    <mergeCell ref="H86:I86"/>
    <mergeCell ref="H87:I87"/>
    <mergeCell ref="H88:I88"/>
    <mergeCell ref="H79:I79"/>
    <mergeCell ref="H80:I80"/>
    <mergeCell ref="H81:I81"/>
    <mergeCell ref="H82:I82"/>
    <mergeCell ref="H83:I83"/>
    <mergeCell ref="B1:N3"/>
    <mergeCell ref="H102:I102"/>
    <mergeCell ref="C102:G102"/>
    <mergeCell ref="C103:G103"/>
    <mergeCell ref="C104:G104"/>
    <mergeCell ref="H103:I103"/>
    <mergeCell ref="H104:I104"/>
    <mergeCell ref="J90:N90"/>
    <mergeCell ref="J91:N91"/>
    <mergeCell ref="J92:N92"/>
    <mergeCell ref="J93:N93"/>
    <mergeCell ref="J94:N94"/>
    <mergeCell ref="J95:N95"/>
    <mergeCell ref="J96:N96"/>
    <mergeCell ref="J100:N100"/>
    <mergeCell ref="J101:N101"/>
    <mergeCell ref="H94:I94"/>
    <mergeCell ref="H95:I95"/>
    <mergeCell ref="H96:I96"/>
    <mergeCell ref="H100:I100"/>
    <mergeCell ref="H101:I101"/>
    <mergeCell ref="H89:I89"/>
    <mergeCell ref="H90:I90"/>
    <mergeCell ref="H91:I91"/>
    <mergeCell ref="J16:N16"/>
    <mergeCell ref="J17:N17"/>
    <mergeCell ref="J18:N18"/>
    <mergeCell ref="J19:N19"/>
    <mergeCell ref="J20:N20"/>
    <mergeCell ref="B5:C5"/>
    <mergeCell ref="B6:C6"/>
    <mergeCell ref="B8:N13"/>
    <mergeCell ref="B7:N7"/>
    <mergeCell ref="H16:I16"/>
    <mergeCell ref="H17:I17"/>
    <mergeCell ref="H18:I18"/>
    <mergeCell ref="H19:I19"/>
    <mergeCell ref="H20:I20"/>
    <mergeCell ref="C20:G20"/>
    <mergeCell ref="C16:G16"/>
    <mergeCell ref="C17:G17"/>
    <mergeCell ref="C18:G18"/>
    <mergeCell ref="C19:G19"/>
    <mergeCell ref="J26:N26"/>
    <mergeCell ref="J27:N27"/>
    <mergeCell ref="J28:N28"/>
    <mergeCell ref="J29:N29"/>
    <mergeCell ref="J30:N30"/>
    <mergeCell ref="J21:N21"/>
    <mergeCell ref="J22:N22"/>
    <mergeCell ref="J23:N23"/>
    <mergeCell ref="J24:N24"/>
    <mergeCell ref="J25:N25"/>
  </mergeCells>
  <pageMargins left="0.25" right="0.25" top="0.75" bottom="0.75" header="0.3" footer="0.3"/>
  <pageSetup fitToWidth="0" fitToHeight="0" orientation="landscape" horizontalDpi="1200" verticalDpi="1200" r:id="rId1"/>
  <headerFooter>
    <oddFooter>&amp;L&amp;9Construction Budget V1&amp;R&amp;9Revision Date: 10/2/2025</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6641-251B-4828-8A52-C9168729C95B}">
  <sheetPr>
    <pageSetUpPr autoPageBreaks="0"/>
  </sheetPr>
  <dimension ref="B1:N32"/>
  <sheetViews>
    <sheetView showGridLines="0" zoomScaleNormal="100" workbookViewId="0">
      <selection activeCell="J19" sqref="J19:M20"/>
    </sheetView>
  </sheetViews>
  <sheetFormatPr defaultColWidth="9.140625" defaultRowHeight="13.5"/>
  <cols>
    <col min="1" max="1" width="2.85546875" style="11" customWidth="1"/>
    <col min="2" max="11" width="9.140625" style="11" customWidth="1"/>
    <col min="12" max="12" width="9.28515625" style="11" customWidth="1"/>
    <col min="13" max="13" width="9.140625" style="11" customWidth="1"/>
    <col min="14" max="14" width="2.85546875" style="11" customWidth="1"/>
    <col min="15" max="16384" width="9.140625" style="11"/>
  </cols>
  <sheetData>
    <row r="1" spans="2:14" ht="13.5" customHeight="1">
      <c r="B1" s="73" t="str">
        <f>UPPER("Project Details")</f>
        <v>PROJECT DETAILS</v>
      </c>
      <c r="C1" s="74"/>
      <c r="D1" s="74"/>
      <c r="E1" s="74"/>
      <c r="F1" s="74"/>
      <c r="G1" s="74"/>
      <c r="H1" s="74"/>
      <c r="I1" s="74"/>
      <c r="J1" s="74"/>
      <c r="K1" s="74"/>
      <c r="L1" s="74"/>
      <c r="M1" s="74"/>
    </row>
    <row r="2" spans="2:14" ht="13.5" customHeight="1">
      <c r="B2" s="75"/>
      <c r="C2" s="76"/>
      <c r="D2" s="76"/>
      <c r="E2" s="76"/>
      <c r="F2" s="76"/>
      <c r="G2" s="76"/>
      <c r="H2" s="76"/>
      <c r="I2" s="76"/>
      <c r="J2" s="76"/>
      <c r="K2" s="76"/>
      <c r="L2" s="76"/>
      <c r="M2" s="76"/>
    </row>
    <row r="3" spans="2:14" ht="15" customHeight="1">
      <c r="B3" s="77"/>
      <c r="C3" s="78"/>
      <c r="D3" s="78"/>
      <c r="E3" s="78"/>
      <c r="F3" s="78"/>
      <c r="G3" s="78"/>
      <c r="H3" s="78"/>
      <c r="I3" s="78"/>
      <c r="J3" s="78"/>
      <c r="K3" s="78"/>
      <c r="L3" s="78"/>
      <c r="M3" s="78"/>
    </row>
    <row r="4" spans="2:14" ht="5.25" customHeight="1"/>
    <row r="5" spans="2:14" ht="5.25" customHeight="1"/>
    <row r="6" spans="2:14" ht="15">
      <c r="B6" s="79" t="s">
        <v>0</v>
      </c>
      <c r="C6" s="79"/>
      <c r="D6" s="79"/>
      <c r="E6" s="79"/>
      <c r="F6" s="79"/>
      <c r="G6" s="79"/>
      <c r="H6" s="79"/>
      <c r="I6" s="79"/>
      <c r="J6" s="79"/>
      <c r="K6" s="79"/>
      <c r="L6" s="79"/>
      <c r="M6" s="79"/>
    </row>
    <row r="7" spans="2:14">
      <c r="B7" s="80" t="s">
        <v>115</v>
      </c>
      <c r="C7" s="80"/>
      <c r="D7" s="80"/>
      <c r="E7" s="80"/>
      <c r="F7" s="80"/>
      <c r="G7" s="80"/>
      <c r="H7" s="80"/>
      <c r="I7" s="80"/>
      <c r="J7" s="80"/>
      <c r="K7" s="80"/>
      <c r="L7" s="80"/>
      <c r="M7" s="80"/>
      <c r="N7" s="3"/>
    </row>
    <row r="8" spans="2:14" ht="18.75" customHeight="1">
      <c r="B8" s="80"/>
      <c r="C8" s="80"/>
      <c r="D8" s="80"/>
      <c r="E8" s="80"/>
      <c r="F8" s="80"/>
      <c r="G8" s="80"/>
      <c r="H8" s="80"/>
      <c r="I8" s="80"/>
      <c r="J8" s="80"/>
      <c r="K8" s="80"/>
      <c r="L8" s="80"/>
      <c r="M8" s="80"/>
      <c r="N8" s="3"/>
    </row>
    <row r="9" spans="2:14">
      <c r="D9" s="3"/>
      <c r="E9" s="3"/>
      <c r="F9" s="3"/>
      <c r="G9" s="3"/>
      <c r="H9" s="3"/>
      <c r="I9" s="3"/>
      <c r="J9" s="3"/>
      <c r="K9" s="3"/>
      <c r="L9" s="3"/>
      <c r="M9" s="3"/>
      <c r="N9" s="3"/>
    </row>
    <row r="10" spans="2:14" ht="15">
      <c r="B10" s="81" t="s">
        <v>116</v>
      </c>
      <c r="C10" s="81"/>
      <c r="D10" s="81"/>
      <c r="E10" s="81"/>
      <c r="F10" s="81" t="s">
        <v>117</v>
      </c>
      <c r="G10" s="81"/>
      <c r="H10" s="81"/>
      <c r="I10" s="81"/>
      <c r="J10" s="81" t="s">
        <v>118</v>
      </c>
      <c r="K10" s="81"/>
      <c r="L10" s="81"/>
      <c r="M10" s="81"/>
    </row>
    <row r="11" spans="2:14">
      <c r="B11" s="72" t="s">
        <v>119</v>
      </c>
      <c r="C11" s="72"/>
      <c r="D11" s="72"/>
      <c r="E11" s="72"/>
      <c r="F11" s="72" t="s">
        <v>120</v>
      </c>
      <c r="G11" s="72"/>
      <c r="H11" s="72"/>
      <c r="I11" s="72"/>
      <c r="J11" s="71"/>
      <c r="K11" s="71"/>
      <c r="L11" s="71"/>
      <c r="M11" s="71"/>
    </row>
    <row r="12" spans="2:14">
      <c r="B12" s="72"/>
      <c r="C12" s="72"/>
      <c r="D12" s="72"/>
      <c r="E12" s="72"/>
      <c r="F12" s="72"/>
      <c r="G12" s="72"/>
      <c r="H12" s="72"/>
      <c r="I12" s="72"/>
      <c r="J12" s="71"/>
      <c r="K12" s="71"/>
      <c r="L12" s="71"/>
      <c r="M12" s="71"/>
    </row>
    <row r="13" spans="2:14" ht="15" customHeight="1">
      <c r="B13" s="72" t="s">
        <v>121</v>
      </c>
      <c r="C13" s="72"/>
      <c r="D13" s="72"/>
      <c r="E13" s="72"/>
      <c r="F13" s="72" t="s">
        <v>122</v>
      </c>
      <c r="G13" s="72"/>
      <c r="H13" s="72"/>
      <c r="I13" s="72"/>
      <c r="J13" s="71"/>
      <c r="K13" s="71"/>
      <c r="L13" s="71"/>
      <c r="M13" s="71"/>
    </row>
    <row r="14" spans="2:14" ht="13.5" customHeight="1">
      <c r="B14" s="72"/>
      <c r="C14" s="72"/>
      <c r="D14" s="72"/>
      <c r="E14" s="72"/>
      <c r="F14" s="72"/>
      <c r="G14" s="72"/>
      <c r="H14" s="72"/>
      <c r="I14" s="72"/>
      <c r="J14" s="71"/>
      <c r="K14" s="71"/>
      <c r="L14" s="71"/>
      <c r="M14" s="71"/>
    </row>
    <row r="15" spans="2:14" ht="15" customHeight="1">
      <c r="B15" s="72" t="s">
        <v>123</v>
      </c>
      <c r="C15" s="72"/>
      <c r="D15" s="72"/>
      <c r="E15" s="72"/>
      <c r="F15" s="72" t="s">
        <v>124</v>
      </c>
      <c r="G15" s="72"/>
      <c r="H15" s="72"/>
      <c r="I15" s="72"/>
      <c r="J15" s="71"/>
      <c r="K15" s="71"/>
      <c r="L15" s="71"/>
      <c r="M15" s="71"/>
    </row>
    <row r="16" spans="2:14" ht="13.5" customHeight="1">
      <c r="B16" s="72"/>
      <c r="C16" s="72"/>
      <c r="D16" s="72"/>
      <c r="E16" s="72"/>
      <c r="F16" s="72"/>
      <c r="G16" s="72"/>
      <c r="H16" s="72"/>
      <c r="I16" s="72"/>
      <c r="J16" s="71"/>
      <c r="K16" s="71"/>
      <c r="L16" s="71"/>
      <c r="M16" s="71"/>
    </row>
    <row r="17" spans="2:13" ht="15" customHeight="1">
      <c r="B17" s="72" t="s">
        <v>125</v>
      </c>
      <c r="C17" s="72"/>
      <c r="D17" s="72"/>
      <c r="E17" s="72"/>
      <c r="F17" s="72" t="s">
        <v>126</v>
      </c>
      <c r="G17" s="72"/>
      <c r="H17" s="72"/>
      <c r="I17" s="72"/>
      <c r="J17" s="71"/>
      <c r="K17" s="71"/>
      <c r="L17" s="71"/>
      <c r="M17" s="71"/>
    </row>
    <row r="18" spans="2:13" ht="13.5" customHeight="1">
      <c r="B18" s="72"/>
      <c r="C18" s="72"/>
      <c r="D18" s="72"/>
      <c r="E18" s="72"/>
      <c r="F18" s="72"/>
      <c r="G18" s="72"/>
      <c r="H18" s="72"/>
      <c r="I18" s="72"/>
      <c r="J18" s="71"/>
      <c r="K18" s="71"/>
      <c r="L18" s="71"/>
      <c r="M18" s="71"/>
    </row>
    <row r="19" spans="2:13" ht="15" customHeight="1">
      <c r="B19" s="72" t="s">
        <v>127</v>
      </c>
      <c r="C19" s="72"/>
      <c r="D19" s="72"/>
      <c r="E19" s="72"/>
      <c r="F19" s="72" t="s">
        <v>128</v>
      </c>
      <c r="G19" s="72"/>
      <c r="H19" s="72"/>
      <c r="I19" s="72"/>
      <c r="J19" s="71"/>
      <c r="K19" s="71"/>
      <c r="L19" s="71"/>
      <c r="M19" s="71"/>
    </row>
    <row r="20" spans="2:13" ht="13.5" customHeight="1">
      <c r="B20" s="72"/>
      <c r="C20" s="72"/>
      <c r="D20" s="72"/>
      <c r="E20" s="72"/>
      <c r="F20" s="72"/>
      <c r="G20" s="72"/>
      <c r="H20" s="72"/>
      <c r="I20" s="72"/>
      <c r="J20" s="71"/>
      <c r="K20" s="71"/>
      <c r="L20" s="71"/>
      <c r="M20" s="71"/>
    </row>
    <row r="21" spans="2:13" ht="15" customHeight="1">
      <c r="B21" s="72" t="s">
        <v>129</v>
      </c>
      <c r="C21" s="72"/>
      <c r="D21" s="72"/>
      <c r="E21" s="72"/>
      <c r="F21" s="72" t="s">
        <v>130</v>
      </c>
      <c r="G21" s="72"/>
      <c r="H21" s="72"/>
      <c r="I21" s="72"/>
      <c r="J21" s="71"/>
      <c r="K21" s="71"/>
      <c r="L21" s="71"/>
      <c r="M21" s="71"/>
    </row>
    <row r="22" spans="2:13" ht="13.5" customHeight="1">
      <c r="B22" s="72"/>
      <c r="C22" s="72"/>
      <c r="D22" s="72"/>
      <c r="E22" s="72"/>
      <c r="F22" s="72"/>
      <c r="G22" s="72"/>
      <c r="H22" s="72"/>
      <c r="I22" s="72"/>
      <c r="J22" s="71"/>
      <c r="K22" s="71"/>
      <c r="L22" s="71"/>
      <c r="M22" s="71"/>
    </row>
    <row r="23" spans="2:13" ht="15" customHeight="1">
      <c r="B23" s="72" t="s">
        <v>131</v>
      </c>
      <c r="C23" s="72"/>
      <c r="D23" s="72"/>
      <c r="E23" s="72"/>
      <c r="F23" s="72" t="s">
        <v>132</v>
      </c>
      <c r="G23" s="72"/>
      <c r="H23" s="72"/>
      <c r="I23" s="72"/>
      <c r="J23" s="71"/>
      <c r="K23" s="71"/>
      <c r="L23" s="71"/>
      <c r="M23" s="71"/>
    </row>
    <row r="24" spans="2:13" ht="13.5" customHeight="1">
      <c r="B24" s="72"/>
      <c r="C24" s="72"/>
      <c r="D24" s="72"/>
      <c r="E24" s="72"/>
      <c r="F24" s="72"/>
      <c r="G24" s="72"/>
      <c r="H24" s="72"/>
      <c r="I24" s="72"/>
      <c r="J24" s="71"/>
      <c r="K24" s="71"/>
      <c r="L24" s="71"/>
      <c r="M24" s="71"/>
    </row>
    <row r="25" spans="2:13" ht="15" customHeight="1">
      <c r="B25" s="72" t="s">
        <v>133</v>
      </c>
      <c r="C25" s="72"/>
      <c r="D25" s="72"/>
      <c r="E25" s="72"/>
      <c r="F25" s="72" t="s">
        <v>134</v>
      </c>
      <c r="G25" s="72"/>
      <c r="H25" s="72"/>
      <c r="I25" s="72"/>
      <c r="J25" s="71"/>
      <c r="K25" s="71"/>
      <c r="L25" s="71"/>
      <c r="M25" s="71"/>
    </row>
    <row r="26" spans="2:13" ht="13.5" customHeight="1">
      <c r="B26" s="72"/>
      <c r="C26" s="72"/>
      <c r="D26" s="72"/>
      <c r="E26" s="72"/>
      <c r="F26" s="72"/>
      <c r="G26" s="72"/>
      <c r="H26" s="72"/>
      <c r="I26" s="72"/>
      <c r="J26" s="71"/>
      <c r="K26" s="71"/>
      <c r="L26" s="71"/>
      <c r="M26" s="71"/>
    </row>
    <row r="27" spans="2:13" ht="15" customHeight="1">
      <c r="B27" s="72" t="s">
        <v>135</v>
      </c>
      <c r="C27" s="72"/>
      <c r="D27" s="72"/>
      <c r="E27" s="72"/>
      <c r="F27" s="72" t="s">
        <v>136</v>
      </c>
      <c r="G27" s="72"/>
      <c r="H27" s="72"/>
      <c r="I27" s="72"/>
      <c r="J27" s="71"/>
      <c r="K27" s="71"/>
      <c r="L27" s="71"/>
      <c r="M27" s="71"/>
    </row>
    <row r="28" spans="2:13" ht="13.5" customHeight="1">
      <c r="B28" s="72"/>
      <c r="C28" s="72"/>
      <c r="D28" s="72"/>
      <c r="E28" s="72"/>
      <c r="F28" s="72"/>
      <c r="G28" s="72"/>
      <c r="H28" s="72"/>
      <c r="I28" s="72"/>
      <c r="J28" s="71"/>
      <c r="K28" s="71"/>
      <c r="L28" s="71"/>
      <c r="M28" s="71"/>
    </row>
    <row r="29" spans="2:13" ht="13.5" customHeight="1">
      <c r="B29" s="72" t="s">
        <v>137</v>
      </c>
      <c r="C29" s="72"/>
      <c r="D29" s="72"/>
      <c r="E29" s="72"/>
      <c r="F29" s="72" t="s">
        <v>138</v>
      </c>
      <c r="G29" s="72"/>
      <c r="H29" s="72"/>
      <c r="I29" s="72"/>
      <c r="J29" s="71"/>
      <c r="K29" s="71"/>
      <c r="L29" s="71"/>
      <c r="M29" s="71"/>
    </row>
    <row r="30" spans="2:13" ht="16.5" customHeight="1">
      <c r="B30" s="72"/>
      <c r="C30" s="72"/>
      <c r="D30" s="72"/>
      <c r="E30" s="72"/>
      <c r="F30" s="72"/>
      <c r="G30" s="72"/>
      <c r="H30" s="72"/>
      <c r="I30" s="72"/>
      <c r="J30" s="71"/>
      <c r="K30" s="71"/>
      <c r="L30" s="71"/>
      <c r="M30" s="71"/>
    </row>
    <row r="31" spans="2:13" ht="13.5" customHeight="1">
      <c r="B31" s="12"/>
      <c r="C31" s="12"/>
      <c r="D31" s="12"/>
      <c r="E31" s="12"/>
      <c r="F31" s="12"/>
      <c r="G31" s="12"/>
      <c r="H31" s="12"/>
      <c r="I31" s="12"/>
    </row>
    <row r="32" spans="2:13" ht="13.5" customHeight="1">
      <c r="B32" s="12"/>
      <c r="C32" s="12"/>
      <c r="D32" s="12"/>
      <c r="E32" s="12"/>
      <c r="F32" s="12"/>
      <c r="G32" s="12"/>
      <c r="H32" s="12"/>
      <c r="I32" s="12"/>
    </row>
  </sheetData>
  <sheetProtection algorithmName="SHA-512" hashValue="H/vKFRpj9ZlUY0ryapa8NvptjT0YIY0NBgXRV9+9q3c4gaalAneh4MmToyBbkIFJFzzELmaZwFxENOM3hKjkuA==" saltValue="gLYIhscS2kos02J4AMlyzw==" spinCount="100000" sheet="1" objects="1" scenarios="1"/>
  <mergeCells count="36">
    <mergeCell ref="B23:E24"/>
    <mergeCell ref="B25:E26"/>
    <mergeCell ref="B27:E28"/>
    <mergeCell ref="B1:M3"/>
    <mergeCell ref="B6:M6"/>
    <mergeCell ref="B7:M8"/>
    <mergeCell ref="J10:M10"/>
    <mergeCell ref="F10:I10"/>
    <mergeCell ref="F25:I26"/>
    <mergeCell ref="J25:M26"/>
    <mergeCell ref="F23:I24"/>
    <mergeCell ref="J23:M24"/>
    <mergeCell ref="J21:M22"/>
    <mergeCell ref="B10:E10"/>
    <mergeCell ref="F21:I22"/>
    <mergeCell ref="B11:E12"/>
    <mergeCell ref="B13:E14"/>
    <mergeCell ref="B15:E16"/>
    <mergeCell ref="B17:E18"/>
    <mergeCell ref="B19:E20"/>
    <mergeCell ref="B21:E22"/>
    <mergeCell ref="F11:I12"/>
    <mergeCell ref="F13:I14"/>
    <mergeCell ref="F15:I16"/>
    <mergeCell ref="F17:I18"/>
    <mergeCell ref="F19:I20"/>
    <mergeCell ref="J11:M12"/>
    <mergeCell ref="J13:M14"/>
    <mergeCell ref="J15:M16"/>
    <mergeCell ref="J17:M18"/>
    <mergeCell ref="J19:M20"/>
    <mergeCell ref="J27:M28"/>
    <mergeCell ref="J29:M30"/>
    <mergeCell ref="F27:I28"/>
    <mergeCell ref="B29:E30"/>
    <mergeCell ref="F29:I30"/>
  </mergeCells>
  <pageMargins left="0.7" right="0.7" top="0.75" bottom="0.75" header="0.3" footer="0.3"/>
  <pageSetup orientation="landscape" r:id="rId1"/>
  <headerFooter>
    <oddFooter>&amp;L&amp;9Construction Budget v1 &amp;R&amp;9Revision Date: 10/2/2025</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2C075BC-DD70-41E6-AF06-5381A3F037D3}">
          <x14:formula1>
            <xm:f>Hidden!$D$1:$D$9</xm:f>
          </x14:formula1>
          <xm:sqref>J11:M30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5D4C4-E953-46BC-B845-8370D6595953}">
  <dimension ref="A1:F9"/>
  <sheetViews>
    <sheetView workbookViewId="0">
      <selection activeCell="F10" sqref="F10"/>
    </sheetView>
  </sheetViews>
  <sheetFormatPr defaultRowHeight="15"/>
  <cols>
    <col min="1" max="1" width="59.5703125" bestFit="1" customWidth="1"/>
    <col min="2" max="2" width="24.28515625" bestFit="1" customWidth="1"/>
    <col min="3" max="3" width="24.42578125" customWidth="1"/>
    <col min="4" max="4" width="24.28515625" bestFit="1" customWidth="1"/>
    <col min="5" max="5" width="32.28515625" bestFit="1" customWidth="1"/>
  </cols>
  <sheetData>
    <row r="1" spans="1:6">
      <c r="A1" t="s">
        <v>19</v>
      </c>
      <c r="B1" t="s">
        <v>19</v>
      </c>
      <c r="C1" t="s">
        <v>19</v>
      </c>
      <c r="D1" t="s">
        <v>19</v>
      </c>
      <c r="E1" t="s">
        <v>19</v>
      </c>
      <c r="F1" t="s">
        <v>139</v>
      </c>
    </row>
    <row r="2" spans="1:6">
      <c r="A2" t="s">
        <v>140</v>
      </c>
      <c r="B2" t="s">
        <v>141</v>
      </c>
      <c r="C2" t="s">
        <v>139</v>
      </c>
      <c r="D2" t="s">
        <v>142</v>
      </c>
      <c r="E2" t="s">
        <v>143</v>
      </c>
      <c r="F2" t="s">
        <v>144</v>
      </c>
    </row>
    <row r="3" spans="1:6">
      <c r="A3" t="s">
        <v>145</v>
      </c>
      <c r="B3" t="s">
        <v>146</v>
      </c>
      <c r="C3" t="s">
        <v>144</v>
      </c>
      <c r="D3" t="s">
        <v>139</v>
      </c>
      <c r="E3" t="s">
        <v>147</v>
      </c>
      <c r="F3" t="s">
        <v>148</v>
      </c>
    </row>
    <row r="4" spans="1:6">
      <c r="A4" t="s">
        <v>149</v>
      </c>
      <c r="B4" t="s">
        <v>150</v>
      </c>
      <c r="C4" t="s">
        <v>148</v>
      </c>
      <c r="D4" t="s">
        <v>144</v>
      </c>
      <c r="E4" t="s">
        <v>151</v>
      </c>
      <c r="F4" t="s">
        <v>152</v>
      </c>
    </row>
    <row r="5" spans="1:6">
      <c r="C5" t="s">
        <v>152</v>
      </c>
      <c r="D5" t="s">
        <v>148</v>
      </c>
      <c r="F5" t="s">
        <v>153</v>
      </c>
    </row>
    <row r="6" spans="1:6">
      <c r="C6" t="s">
        <v>153</v>
      </c>
      <c r="D6" t="s">
        <v>152</v>
      </c>
      <c r="F6" t="s">
        <v>154</v>
      </c>
    </row>
    <row r="7" spans="1:6">
      <c r="C7" t="s">
        <v>154</v>
      </c>
      <c r="D7" t="s">
        <v>153</v>
      </c>
      <c r="F7" t="s">
        <v>155</v>
      </c>
    </row>
    <row r="8" spans="1:6">
      <c r="C8" t="s">
        <v>156</v>
      </c>
      <c r="D8" t="s">
        <v>154</v>
      </c>
      <c r="F8" t="s">
        <v>157</v>
      </c>
    </row>
    <row r="9" spans="1:6">
      <c r="D9" t="s">
        <v>156</v>
      </c>
      <c r="F9" t="s">
        <v>158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E512EE6FFF554F8A1C544FD67D022F" ma:contentTypeVersion="11" ma:contentTypeDescription="Create a new document." ma:contentTypeScope="" ma:versionID="3054c62dd48cdae38e4277a7f6b9f573">
  <xsd:schema xmlns:xsd="http://www.w3.org/2001/XMLSchema" xmlns:xs="http://www.w3.org/2001/XMLSchema" xmlns:p="http://schemas.microsoft.com/office/2006/metadata/properties" xmlns:ns2="4365d15c-4fe7-4bbf-bd29-6f519313b7ce" xmlns:ns3="a57e8693-d5ba-433b-8085-c36c256413e1" targetNamespace="http://schemas.microsoft.com/office/2006/metadata/properties" ma:root="true" ma:fieldsID="e47e8fef38cce54e7160a65e49a51758" ns2:_="" ns3:_="">
    <xsd:import namespace="4365d15c-4fe7-4bbf-bd29-6f519313b7ce"/>
    <xsd:import namespace="a57e8693-d5ba-433b-8085-c36c256413e1"/>
    <xsd:element name="properties">
      <xsd:complexType>
        <xsd:sequence>
          <xsd:element name="documentManagement">
            <xsd:complexType>
              <xsd:all>
                <xsd:element ref="ns2:Department"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65d15c-4fe7-4bbf-bd29-6f519313b7ce" elementFormDefault="qualified">
    <xsd:import namespace="http://schemas.microsoft.com/office/2006/documentManagement/types"/>
    <xsd:import namespace="http://schemas.microsoft.com/office/infopath/2007/PartnerControls"/>
    <xsd:element name="Department" ma:index="8" nillable="true" ma:displayName="Department" ma:format="Dropdown" ma:internalName="Department">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377c480-99d0-4e49-9e9a-bd7fd6eb618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57e8693-d5ba-433b-8085-c36c256413e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89da0b8-210f-4c6f-b1b1-1a7cbe9d5d7a}" ma:internalName="TaxCatchAll" ma:showField="CatchAllData" ma:web="a57e8693-d5ba-433b-8085-c36c256413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365d15c-4fe7-4bbf-bd29-6f519313b7ce">
      <Terms xmlns="http://schemas.microsoft.com/office/infopath/2007/PartnerControls"/>
    </lcf76f155ced4ddcb4097134ff3c332f>
    <Department xmlns="4365d15c-4fe7-4bbf-bd29-6f519313b7ce" xsi:nil="true"/>
    <TaxCatchAll xmlns="a57e8693-d5ba-433b-8085-c36c256413e1" xsi:nil="true"/>
  </documentManagement>
</p:properties>
</file>

<file path=customXml/itemProps1.xml><?xml version="1.0" encoding="utf-8"?>
<ds:datastoreItem xmlns:ds="http://schemas.openxmlformats.org/officeDocument/2006/customXml" ds:itemID="{D4FA7670-DE50-475C-A31A-3C481E1F5D67}"/>
</file>

<file path=customXml/itemProps2.xml><?xml version="1.0" encoding="utf-8"?>
<ds:datastoreItem xmlns:ds="http://schemas.openxmlformats.org/officeDocument/2006/customXml" ds:itemID="{F181A2CB-5F11-40ED-9A50-6CF9014AAE28}"/>
</file>

<file path=customXml/itemProps3.xml><?xml version="1.0" encoding="utf-8"?>
<ds:datastoreItem xmlns:ds="http://schemas.openxmlformats.org/officeDocument/2006/customXml" ds:itemID="{C41E3301-C5FB-485F-ABD1-AD6B2F088A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Jesse Goldberg</dc:creator>
  <cp:keywords/>
  <dc:description/>
  <cp:lastModifiedBy/>
  <cp:revision/>
  <dcterms:created xsi:type="dcterms:W3CDTF">2025-09-26T13:03:05Z</dcterms:created>
  <dcterms:modified xsi:type="dcterms:W3CDTF">2026-05-20T23:32:03Z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0x01010048E512EE6FFF554F8A1C544FD67D022F</vt:lpwstr>
  </property>
  <property fmtid="{D5CDD505-2E9C-101B-9397-08002B2CF9AE}" pid="3" name="MediaServiceImageTags">
    <vt:lpwstr/>
  </property>
</Properties>
</file>